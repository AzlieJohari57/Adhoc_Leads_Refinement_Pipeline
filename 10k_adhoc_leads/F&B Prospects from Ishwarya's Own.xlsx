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"/>
    </mc:Choice>
  </mc:AlternateContent>
  <xr:revisionPtr revIDLastSave="0" documentId="13_ncr:1_{589B43F1-6E13-4394-BA77-E199BB2A7A5C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Mr project 2023-2024 F&amp;B segmen" sheetId="1" r:id="rId1"/>
    <sheet name="Ishwarya Intern Sales newjoinee" sheetId="2" r:id="rId2"/>
    <sheet name="Ishwarya_MR2022" sheetId="3" r:id="rId3"/>
    <sheet name="Ishwarya_Inquiry to Ishwarya In" sheetId="4" r:id="rId4"/>
    <sheet name="Sheet9" sheetId="5" r:id="rId5"/>
    <sheet name="Ishwarya_Field Sales @ EXPO QSR" sheetId="6" r:id="rId6"/>
    <sheet name="F&amp;B Market research 2023" sheetId="7" r:id="rId7"/>
  </sheets>
  <definedNames>
    <definedName name="_xlnm._FilterDatabase" localSheetId="1" hidden="1">'Ishwarya Intern Sales newjoinee'!$A$1:$H$460</definedName>
    <definedName name="_xlnm._FilterDatabase" localSheetId="5" hidden="1">'Ishwarya_Field Sales @ EXPO QSR'!$A$1:$U$1</definedName>
    <definedName name="_xlnm._FilterDatabase" localSheetId="3" hidden="1">'Ishwarya_Inquiry to Ishwarya In'!$A$1:$M$468</definedName>
    <definedName name="_xlnm._FilterDatabase" localSheetId="2" hidden="1">Ishwarya_MR2022!$A$1:$H$1</definedName>
    <definedName name="_xlnm._FilterDatabase" localSheetId="0" hidden="1">'Mr project 2023-2024 F&amp;B segmen'!$A$1:$D$1</definedName>
    <definedName name="_xlnm._FilterDatabase" localSheetId="4" hidden="1">Sheet9!$A$1:$T$1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2" i="3"/>
  <c r="C7" i="2"/>
  <c r="C3" i="2"/>
  <c r="C4" i="2"/>
  <c r="C5" i="2"/>
  <c r="C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2" i="2"/>
  <c r="B265" i="7"/>
  <c r="B255" i="7"/>
  <c r="G105" i="6"/>
  <c r="G93" i="6"/>
  <c r="G76" i="6"/>
  <c r="G60" i="6"/>
  <c r="H554" i="5"/>
  <c r="H543" i="5"/>
  <c r="H499" i="5"/>
  <c r="H389" i="5"/>
  <c r="H369" i="5"/>
  <c r="H183" i="5"/>
  <c r="H6" i="5"/>
  <c r="H405" i="4"/>
  <c r="H296" i="4"/>
  <c r="H295" i="4"/>
  <c r="D84" i="1"/>
  <c r="D23" i="1"/>
</calcChain>
</file>

<file path=xl/sharedStrings.xml><?xml version="1.0" encoding="utf-8"?>
<sst xmlns="http://schemas.openxmlformats.org/spreadsheetml/2006/main" count="11369" uniqueCount="4816">
  <si>
    <t>Company Name</t>
  </si>
  <si>
    <t>Region/Pipeline</t>
  </si>
  <si>
    <t>email</t>
  </si>
  <si>
    <t xml:space="preserve">SG eM By The Marina Pte Ltd @ SG
</t>
  </si>
  <si>
    <t>Singapore</t>
  </si>
  <si>
    <t xml:space="preserve">adrian.yeo@embtm.com.sg
 </t>
  </si>
  <si>
    <t xml:space="preserve">SG The Beef Station @ SG 81187556
</t>
  </si>
  <si>
    <t>xingping.khee@gmail.com</t>
  </si>
  <si>
    <t>SG Pasta e Formaggio f&amp;b</t>
  </si>
  <si>
    <t>65 8752 2100</t>
  </si>
  <si>
    <t>SG Keen’s Bagelry @ SG - +65 9298 1393</t>
  </si>
  <si>
    <t>keensbagelry@gmail.com</t>
  </si>
  <si>
    <t>65 9298 1393</t>
  </si>
  <si>
    <t>SG Wine .ion @ SG</t>
  </si>
  <si>
    <t>jake@wine.ion.com</t>
  </si>
  <si>
    <t>SG Potatohead Singapore Pte Ltd @ SG</t>
  </si>
  <si>
    <t>kin@potatohead.co</t>
  </si>
  <si>
    <t>SG E and e eating house @ SG</t>
  </si>
  <si>
    <t>egg@yahoo.com.sg</t>
  </si>
  <si>
    <t xml:space="preserve">New fut kai - 80234322 @ SG - SG to SG
</t>
  </si>
  <si>
    <t xml:space="preserve">	newfutkaibook@gmail.com</t>
  </si>
  <si>
    <t>SG JP Meraki Pte Ltd @ SG - Ang Mo Kio Ave 4</t>
  </si>
  <si>
    <t>jpmeraki.sg@gmail.com</t>
  </si>
  <si>
    <t>SG .itivity Cafe @ SG</t>
  </si>
  <si>
    <t>ariunsanaab@outlook.com</t>
  </si>
  <si>
    <t xml:space="preserve">SG Nijo Cafe @ SG
</t>
  </si>
  <si>
    <t xml:space="preserve">
joysimyt@gmail.com
</t>
  </si>
  <si>
    <t>SG ISH to SG</t>
  </si>
  <si>
    <t>lamac8014@gmail.com</t>
  </si>
  <si>
    <t>ternajachob</t>
  </si>
  <si>
    <t xml:space="preserve">jiancheng.342342@gmail.com
 </t>
  </si>
  <si>
    <t>SG JIP - Korean Restaurant @ SG</t>
  </si>
  <si>
    <t>11nowornever@gmail.com</t>
  </si>
  <si>
    <t>SG We Found Eating Pte Ltd @ SG - 91502380</t>
  </si>
  <si>
    <t xml:space="preserve">aidanwee.biz@gmail.com
</t>
  </si>
  <si>
    <t>SG Mgen Collab PTE LTD @ SG</t>
  </si>
  <si>
    <t>cs@tenplus.sg</t>
  </si>
  <si>
    <t>SG Curious Folk Coffee @ SG - ISH to SG</t>
  </si>
  <si>
    <t>SG Diageo Singapore @ SG</t>
  </si>
  <si>
    <t xml:space="preserve">
shellen.yong@diageo.com
 </t>
  </si>
  <si>
    <t>SG Crazy Scoops @ SG</t>
  </si>
  <si>
    <t>SG Bites &amp; Brews @ SG - 85316227</t>
  </si>
  <si>
    <t>gennadii.bochkar@gmail.com</t>
  </si>
  <si>
    <t>SG Royal Food Services Singapore @ SG</t>
  </si>
  <si>
    <t>alexjames.rfss@gmail.com</t>
  </si>
  <si>
    <t xml:space="preserve">Chilli Pan Mee (Batu Rd) @ SG - SG . ish
</t>
  </si>
  <si>
    <t>SG 159atas Pte Ltd@ SG</t>
  </si>
  <si>
    <t xml:space="preserve">carlos@159atas.sg
 </t>
  </si>
  <si>
    <t>SG Solo Ristorante @ SG</t>
  </si>
  <si>
    <t>angelalyx@live.com</t>
  </si>
  <si>
    <t>SG Oak and Ember @ 25 Loyang Crescent, TOLL SG - . - 91826102</t>
  </si>
  <si>
    <t>contact.oaknember@gmail.com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</si>
  <si>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</si>
  <si>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</si>
  <si>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</si>
  <si>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</si>
  <si>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Bzba @ SG</t>
  </si>
  <si>
    <t>phillip@bzbasia.com</t>
  </si>
  <si>
    <t xml:space="preserve">SG The Supermarket Company Pte Ltd @ SG
</t>
  </si>
  <si>
    <t xml:space="preserve">yusof@thesupermarketco.sg
</t>
  </si>
  <si>
    <t>SG Dertien SG Sembawang - Loyverse.</t>
  </si>
  <si>
    <t>limhuiching97@gmail.com</t>
  </si>
  <si>
    <t xml:space="preserve">SG RJC canteen @ SG </t>
  </si>
  <si>
    <t>. . TFS @ SG</t>
  </si>
  <si>
    <t xml:space="preserve">ken.tan.ping@gmail.com
 </t>
  </si>
  <si>
    <t>Ministry of Biryani @ Bukit Batok - Google Search +65 9026 8786</t>
  </si>
  <si>
    <t>contact@mobiryani.com</t>
  </si>
  <si>
    <t>Vogue Vibe Cafe - @ SG - 83682868 - Mail .</t>
  </si>
  <si>
    <t>lilianleell200@gmail.com</t>
  </si>
  <si>
    <t>SG Chateaux @ SG +6596869695 - Google search</t>
  </si>
  <si>
    <t>geok@chateaux.sg</t>
  </si>
  <si>
    <t>Dolphin Restaurant @ SG - Email .</t>
  </si>
  <si>
    <t>phins.dorothy@gmail.com</t>
  </si>
  <si>
    <t>SG Soul Kind Cafe @ SG +65 8908 2977</t>
  </si>
  <si>
    <t>soulkindcafe@gmail.com</t>
  </si>
  <si>
    <t>65 8908 2977</t>
  </si>
  <si>
    <t xml:space="preserve">Maxi Cabs - . Kiosk . for Coffee Vending Machine
</t>
  </si>
  <si>
    <t xml:space="preserve">howard@maxicabs.sg
 </t>
  </si>
  <si>
    <t xml:space="preserve">Love You Food @ Marina One - Want to scale up +6590215915
</t>
  </si>
  <si>
    <t>SG F Innovators Singapore Full-Service Restaurant</t>
  </si>
  <si>
    <t>taizoharino03@gmail.com</t>
  </si>
  <si>
    <t>SG Sando Singapore</t>
  </si>
  <si>
    <t>getstacked@sandosingapore.com</t>
  </si>
  <si>
    <t>Angage Ice Cream @ SG</t>
  </si>
  <si>
    <t>sales@angage.com.sg</t>
  </si>
  <si>
    <t>Three fifteen @ SG - Beverage shop - SG - GOOGLE SEARCH - +65 8857 6925</t>
  </si>
  <si>
    <t>65 8857 6925</t>
  </si>
  <si>
    <t>SG Bling Beau @ SG - . to SG</t>
  </si>
  <si>
    <t>sgprojectbbm@gmail.com</t>
  </si>
  <si>
    <t>SG ISCOS Cafe Singapore</t>
  </si>
  <si>
    <t>rudy@neugen.org.sg</t>
  </si>
  <si>
    <t>Tandoori Lounge @ SG - Indian Restaurant - . . ish to SG</t>
  </si>
  <si>
    <t>SG Lavi Taco @ SG - Form Submission . GogmGo .</t>
  </si>
  <si>
    <t>brian.work5117@gmail.com</t>
  </si>
  <si>
    <t>SG Black Cow @ SG - +65 8799 1000</t>
  </si>
  <si>
    <t>davidow1988@gmail.com</t>
  </si>
  <si>
    <t>65 8799 1000</t>
  </si>
  <si>
    <t>SG Cut @ SG - 97378573</t>
  </si>
  <si>
    <t>ingkiriwangryan@gmail.com</t>
  </si>
  <si>
    <t>SG Satoyu Fresh Juice Pte Ltd - Pasir Panjang</t>
  </si>
  <si>
    <t xml:space="preserve">henryang@satoyu.com
</t>
  </si>
  <si>
    <t>65 9138 6992 - Chunky Lobsters @ SG - . . ish</t>
  </si>
  <si>
    <t xml:space="preserve">chunkylobsters@gmail.com
</t>
  </si>
  <si>
    <t>65 9138 6992</t>
  </si>
  <si>
    <t>SG Home Team NS Bedok Reservoir @ SG</t>
  </si>
  <si>
    <t xml:space="preserve">alicia_tan@hometeamns.sg
</t>
  </si>
  <si>
    <t xml:space="preserve">SG Juice Farm @ SG
</t>
  </si>
  <si>
    <t>limin@juicefarm.com.sg</t>
  </si>
  <si>
    <t>SG +65 8498 2457 TandoorLounge, punggol @ SG - . . ish</t>
  </si>
  <si>
    <t>narraranil@gmail.com</t>
  </si>
  <si>
    <t>65 8498 2457</t>
  </si>
  <si>
    <t>3 mins Coffee @ SG - 6A Shenton Wy, #01-24 OUE Downtown Gallery - . . .</t>
  </si>
  <si>
    <t>jskee29@gmail.com</t>
  </si>
  <si>
    <t>SG Nayana Food Supplies Pte Ltd @ SG</t>
  </si>
  <si>
    <t>zhenyi.nayana@gmail.com</t>
  </si>
  <si>
    <t xml:space="preserve">678 roast meat, singapore - . . ish +65 9878 1192
</t>
  </si>
  <si>
    <t>65 9878 1192</t>
  </si>
  <si>
    <t>Ye Olde Cow_85690443 . . ISH to SG</t>
  </si>
  <si>
    <t>odette.tsy@gmail.com</t>
  </si>
  <si>
    <t>SG Sago House Pte Ltd - Singapore</t>
  </si>
  <si>
    <t>vanessa.chang@chaosactive.com</t>
  </si>
  <si>
    <t>Important_OLD CHANG KEE - SG to ISH_80 Outlets</t>
  </si>
  <si>
    <t>jerry_lim@oldchangkee.com</t>
  </si>
  <si>
    <t>65 9025 8148 - Pasta Express @ SG</t>
  </si>
  <si>
    <t>Kokjinhui89@gmail.com</t>
  </si>
  <si>
    <t>65 9025 8148</t>
  </si>
  <si>
    <t>SG Zeno Exhibition @ SG</t>
  </si>
  <si>
    <t>ken.lim@zenoexhibition.com</t>
  </si>
  <si>
    <t>SG Maneki Signage @ SG</t>
  </si>
  <si>
    <t>admin@maneki-signage.sg</t>
  </si>
  <si>
    <t>SG Village Hotel Sentosa @ SG</t>
  </si>
  <si>
    <t>dannyyok@fareast.com</t>
  </si>
  <si>
    <t>SG Littlethaiwok @ SG - . ISH Source:From restaurants I visited</t>
  </si>
  <si>
    <t>littlethaiwok@gmail.com</t>
  </si>
  <si>
    <t>65 8666 6808</t>
  </si>
  <si>
    <t>Rice Bowl @ SG +65 8113 6808</t>
  </si>
  <si>
    <t>65 8113 6808</t>
  </si>
  <si>
    <t>De Velpsche Bar - . ISH</t>
  </si>
  <si>
    <t xml:space="preserve">	Develpschebar@gmail.com</t>
  </si>
  <si>
    <t>SG GV Food Pte Ltd @ SG 9820 7882</t>
  </si>
  <si>
    <t>belden.phang@gmail.com</t>
  </si>
  <si>
    <t>. . Chatbot Lead - Patrons @ SG - 2 Outlets</t>
  </si>
  <si>
    <t>65 8446 0086</t>
  </si>
  <si>
    <t>SG - Waka Waka @ SG (Raptor .) Industry Referral</t>
  </si>
  <si>
    <t>kongsg@furama.com</t>
  </si>
  <si>
    <t>SG 88764958 l'angelus group pte ltd @ SG</t>
  </si>
  <si>
    <t>valentin@langelusgroup.com</t>
  </si>
  <si>
    <t>SG Natural Health Farm @ SG</t>
  </si>
  <si>
    <t>jirehtang1997@gmail.com</t>
  </si>
  <si>
    <t>COTTAGE by The Straits People Cafe (TSP Coffee) @ SG - 92724561</t>
  </si>
  <si>
    <t>annetan@ymail.com</t>
  </si>
  <si>
    <t>Cafe @ Parkway East Hospital - @ SG</t>
  </si>
  <si>
    <t>chiahow.choo@parkwayeast.com.sg</t>
  </si>
  <si>
    <t>SG Mind Champs - Central Kitchen &amp; CAFE @ SG</t>
  </si>
  <si>
    <t>kennethmarkyong@mindchamps.org</t>
  </si>
  <si>
    <t>SG MALA @ SG 88028459</t>
  </si>
  <si>
    <t>cyk343@hotmail.com</t>
  </si>
  <si>
    <t>SG L&amp;R Catering Pte Ltd @ SG - +65 9118 0713</t>
  </si>
  <si>
    <t>adoyciatpqx@hotmail.com</t>
  </si>
  <si>
    <t>65 9118 0713</t>
  </si>
  <si>
    <t>Old Cafe @ Wild Wild WET SG - SG 81569010</t>
  </si>
  <si>
    <t>june@olabeachclub.com</t>
  </si>
  <si>
    <t>SG SousFully @ SG - . Chat SG +65 9649 8837</t>
  </si>
  <si>
    <t>pearlyn@sousfully.sg</t>
  </si>
  <si>
    <t>65 9649 8837</t>
  </si>
  <si>
    <t>Bowl Voyage @ SG - . . ish</t>
  </si>
  <si>
    <t>65 8484 3488</t>
  </si>
  <si>
    <t>SG Mr Mookata @ SG - . ish</t>
  </si>
  <si>
    <t>65 8282 4097</t>
  </si>
  <si>
    <t>. ISH Kitsetsu Omakase</t>
  </si>
  <si>
    <t>sherilynn@eduvalue.com.sg</t>
  </si>
  <si>
    <t>Barrio Caliente @ SG - SG - Qashier .</t>
  </si>
  <si>
    <t>ali.zaouane@qualiency.com</t>
  </si>
  <si>
    <t>SG New Biz Enterprise @ SG</t>
  </si>
  <si>
    <t>newbizconcept@gmail.com</t>
  </si>
  <si>
    <t>Greybox Cafe @ SG_. . ish to SG</t>
  </si>
  <si>
    <t>65 9128 2081</t>
  </si>
  <si>
    <t>. . Chat Lead Gerai Nenek Obek @ SG</t>
  </si>
  <si>
    <t>65 8611 4560</t>
  </si>
  <si>
    <t xml:space="preserve">. . ish Rara Pte Ltd (F&amp;B)
</t>
  </si>
  <si>
    <t>65 9766 7093</t>
  </si>
  <si>
    <t>Ocean Bay - +65 87300222 - Call .</t>
  </si>
  <si>
    <t>65 87300222</t>
  </si>
  <si>
    <t>. . Chat Lead +66 94 689 3924 Hua Ting Restaurant</t>
  </si>
  <si>
    <t>66 94 689 3924</t>
  </si>
  <si>
    <t>SG PWC - Looking for QR ORDERING for Food/Drinks while in Meeting rooms</t>
  </si>
  <si>
    <t>zoe.t.thio@pwc.com</t>
  </si>
  <si>
    <t>SG Beyond the Vines @ SG - . QR . to SG</t>
  </si>
  <si>
    <t>andrew.ong@beyondthevines.com</t>
  </si>
  <si>
    <t>Mario's ristorante cafe sms campaign and discount promotion / voucher .</t>
  </si>
  <si>
    <t>jj.mariosfam@gmail.com</t>
  </si>
  <si>
    <t>SG Yummy &amp; Niche . Kiosk @ SG - . to SG</t>
  </si>
  <si>
    <t>shanieljoyreyestierro@gmail.com</t>
  </si>
  <si>
    <t>SG Naughty Food Holdings Pte Ltd @ SG</t>
  </si>
  <si>
    <t>naughtyfood.sg@gmail.com</t>
  </si>
  <si>
    <t>SG Kampung Glam Desserts @ QR . - SG Loyverse .</t>
  </si>
  <si>
    <t>khalisahadelias@gmail.com</t>
  </si>
  <si>
    <t>SG Mr. Piglet @ SG</t>
  </si>
  <si>
    <t>jennylawngieyu@yahoo.com.sg</t>
  </si>
  <si>
    <t>Honey Bee SG Dessert Shop 84232555 - . ISH to SG</t>
  </si>
  <si>
    <t>Honeybeesg.general@gmail.com</t>
  </si>
  <si>
    <t>SG Ralovs Cafe Academy @ SG</t>
  </si>
  <si>
    <t>ralovs.cafe.academy@gmail.com</t>
  </si>
  <si>
    <t>SG Salt Flaked Pte Ltd @ SG - . Form</t>
  </si>
  <si>
    <t>amy@tianns.com.sg</t>
  </si>
  <si>
    <t>Pentagon Group_SG 12 Outlets_Pentagon Group Pte Ltd @ SG Levelfive Solution . - . Form</t>
  </si>
  <si>
    <t>kaelyngohhh@gmail.com</t>
  </si>
  <si>
    <t>SG Sembawang Seafood Paradise Pte Ltd @ SG - . . Aptsys .</t>
  </si>
  <si>
    <t>daniel@beaulieuhouse.com.sg</t>
  </si>
  <si>
    <t xml:space="preserve">Mixue @ SG - . . ish
</t>
  </si>
  <si>
    <t>65 9231 3852</t>
  </si>
  <si>
    <t>SG SizzleDog @ SG - Website . to SG</t>
  </si>
  <si>
    <t>jothamlim0706@gmail.com</t>
  </si>
  <si>
    <t>SG Creative Food Concept Pte Ltd @ SG - . to SG</t>
  </si>
  <si>
    <t>ailee@cfc.com.sg</t>
  </si>
  <si>
    <t>Thats MY PIZZA @ SG - . . ish to SG</t>
  </si>
  <si>
    <t>65 9115 8251</t>
  </si>
  <si>
    <t>SG YUMMY PUNJABY INTERNATIONAL PTE. LTD. @ SG RAPTOR . - Website .</t>
  </si>
  <si>
    <t>yummypunjaby@gmail.com</t>
  </si>
  <si>
    <t>Hind Arab @ SG - 150 Arab St - WA ish to SG</t>
  </si>
  <si>
    <t>65 9367 1200</t>
  </si>
  <si>
    <t xml:space="preserve">Drinkaholic Pte Ltd @ SG - SG-480084- . ish
</t>
  </si>
  <si>
    <t>65 9633 0693</t>
  </si>
  <si>
    <t>Hawker Stall @ SG - Website . to SG</t>
  </si>
  <si>
    <t>cc91158251@gmail.com</t>
  </si>
  <si>
    <t>SG Mr Onigiri @ SG - +65 9855 9630</t>
  </si>
  <si>
    <t>monigiri.sg@gmail.com</t>
  </si>
  <si>
    <t>65 9855 9630</t>
  </si>
  <si>
    <t>Okra by SWG LLP @ SG - +65 9474 1162 - via Google search</t>
  </si>
  <si>
    <t>65 9474 1162</t>
  </si>
  <si>
    <t>SG Clos Pasoh @ SG - Web form . to SG</t>
  </si>
  <si>
    <t>geoffrey@clos.sg</t>
  </si>
  <si>
    <t>SG Indo Spices Centre Pte. Ltd. @ SG - Web. to SG</t>
  </si>
  <si>
    <t>dpenyetz.oth@gmail.com</t>
  </si>
  <si>
    <t>Niqqi’s the cheeseprata shop. 16 clementi road. @ SG - WA ish</t>
  </si>
  <si>
    <t>65 9692 9441</t>
  </si>
  <si>
    <t>SG K Noodle @ SG - Web . to SG</t>
  </si>
  <si>
    <t>yesiamkylie@gmail.com</t>
  </si>
  <si>
    <t>Sin Ming Roti Prata @ SG - . WA ish</t>
  </si>
  <si>
    <t>65 9740 1046</t>
  </si>
  <si>
    <t>SG Gusta Sourdough Pizza Co. @ SG 83882198</t>
  </si>
  <si>
    <t>rachel@gustapizza.co</t>
  </si>
  <si>
    <t>Tianxin's cafe @ SG - . . ISH 81134501</t>
  </si>
  <si>
    <t>ttxtianxin@gmail.com</t>
  </si>
  <si>
    <t>SG sufirahbitez Cafe @ SG - Web.</t>
  </si>
  <si>
    <t>nrshrwn14@gmail.com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</si>
  <si>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</si>
  <si>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</si>
  <si>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</si>
  <si>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</si>
  <si>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</si>
  <si>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</si>
  <si>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</si>
  <si>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</si>
  <si>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</si>
  <si>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</si>
  <si>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</si>
  <si>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</si>
  <si>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</si>
  <si>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</si>
  <si>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</si>
  <si>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</si>
  <si>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</si>
  <si>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</si>
  <si>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Rice Bowl @ SG - . ish to SG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</si>
  <si>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</si>
  <si>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</si>
  <si>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</si>
  <si>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</si>
  <si>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</si>
  <si>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</si>
  <si>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</si>
  <si>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</si>
  <si>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</si>
  <si>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</si>
  <si>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</si>
  <si>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</si>
  <si>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</si>
  <si>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chow3ddd@yahoo.com.sg</t>
  </si>
  <si>
    <t>SG LiJieDeDian Coffee Shop. @ SG e. - AMK</t>
  </si>
  <si>
    <t>212549l@mymail.nyp.edu.sg</t>
  </si>
  <si>
    <t>SG - Westlake 3 Pte Ltd @ Queens Road</t>
  </si>
  <si>
    <t>matthew.lim@westlake.com.sg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</si>
  <si>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</si>
  <si>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</si>
  <si>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</si>
  <si>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</si>
  <si>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</si>
  <si>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</si>
  <si>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</si>
  <si>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</si>
  <si>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- Nirvana SG - email . Re: . .QR</t>
  </si>
  <si>
    <t>kokjiung.lee@nirvana.com.sg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</si>
  <si>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</si>
  <si>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</si>
  <si>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</si>
  <si>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</si>
  <si>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</si>
  <si>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</si>
  <si>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</si>
  <si>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</si>
  <si>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</si>
  <si>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</si>
  <si>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</si>
  <si>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</si>
  <si>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</si>
  <si>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</si>
  <si>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</si>
  <si>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</si>
  <si>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</si>
  <si>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</si>
  <si>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</si>
  <si>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</si>
  <si>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</si>
  <si>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</si>
  <si>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</si>
  <si>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</si>
  <si>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</si>
  <si>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</si>
  <si>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</si>
  <si>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</si>
  <si>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</si>
  <si>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</si>
  <si>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</si>
  <si>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First Name</t>
  </si>
  <si>
    <t>Last Name</t>
  </si>
  <si>
    <t>Source of Lead</t>
  </si>
  <si>
    <t>Region</t>
  </si>
  <si>
    <t>Mirabel</t>
  </si>
  <si>
    <t>Neo</t>
  </si>
  <si>
    <t>Newjoinee Sales prospects from MR</t>
  </si>
  <si>
    <t>Iro iro japanese restaurant @ SG</t>
  </si>
  <si>
    <t>iroiro.jr@gmail.com</t>
  </si>
  <si>
    <t>Clarence</t>
  </si>
  <si>
    <t>Liew</t>
  </si>
  <si>
    <t>Torched @ SG</t>
  </si>
  <si>
    <t>clarence@amberember.sg</t>
  </si>
  <si>
    <t>Mr. Kayden</t>
  </si>
  <si>
    <t>Tiong Hoe Specialty Coffee @ SG</t>
  </si>
  <si>
    <t>65 9834 4960</t>
  </si>
  <si>
    <t>Cher Siong</t>
  </si>
  <si>
    <t>See</t>
  </si>
  <si>
    <t>Sentosa Leisure Management Pte. Ltd. -- Ishwarya</t>
  </si>
  <si>
    <t>see_cher_siong@sentosa.com.sg</t>
  </si>
  <si>
    <t>Honeyly</t>
  </si>
  <si>
    <t>Sanchez</t>
  </si>
  <si>
    <t>Banana leaf apollo @ SG --.</t>
  </si>
  <si>
    <t>honencinas@yahoo.com</t>
  </si>
  <si>
    <t>Anthony</t>
  </si>
  <si>
    <t>Chang</t>
  </si>
  <si>
    <t>Yummochow @ SG -- Ishwarya</t>
  </si>
  <si>
    <t>yummochow@gmail.com</t>
  </si>
  <si>
    <t>LIM</t>
  </si>
  <si>
    <t>Bodega bistro 87661830 @ SG -- .</t>
  </si>
  <si>
    <t>fivedanfoods@gmail.com</t>
  </si>
  <si>
    <t>Jason</t>
  </si>
  <si>
    <t>Kong</t>
  </si>
  <si>
    <t>Pentagon Group @ SG --.</t>
  </si>
  <si>
    <t>jason_kong@teeinvestments.com</t>
  </si>
  <si>
    <t>Armoury Craft Beer and Steak @ SG -- .</t>
  </si>
  <si>
    <t>65 9862 0980</t>
  </si>
  <si>
    <t>Goh Jian Lee</t>
  </si>
  <si>
    <t>.._ZHONG GUO FENG PTE LTD Fat bird @ SG</t>
  </si>
  <si>
    <t>jianlee.goh@fatbird.com.sg</t>
  </si>
  <si>
    <t>Darren</t>
  </si>
  <si>
    <t>.. S -city cafe pte ltd @ SG</t>
  </si>
  <si>
    <t>darren@scitycafe.com</t>
  </si>
  <si>
    <t>CHRISTIAN</t>
  </si>
  <si>
    <t>PISIGAN</t>
  </si>
  <si>
    <t>.. Food on Fire Pte Ltd @ SG</t>
  </si>
  <si>
    <t>hectorcapitalholdings@gmail.com</t>
  </si>
  <si>
    <t>Jyn</t>
  </si>
  <si>
    <t>Tan</t>
  </si>
  <si>
    <t>.. XMJ Group Pte Ltd</t>
  </si>
  <si>
    <t>jyn@ximenjie.com.sg</t>
  </si>
  <si>
    <t>Pei Shi Tan</t>
  </si>
  <si>
    <t>.. Kopitiam @ SG</t>
  </si>
  <si>
    <t>peishi.tan@fairpricegroup.sg</t>
  </si>
  <si>
    <t>Kenny</t>
  </si>
  <si>
    <t>Pong</t>
  </si>
  <si>
    <t>.. Sea Cuisine Pte Ltd</t>
  </si>
  <si>
    <t>kenny@seacuisine.com.sg</t>
  </si>
  <si>
    <t>Ham</t>
  </si>
  <si>
    <t>.. Blue Ocen System Technologies Pte Ltd @ SG</t>
  </si>
  <si>
    <t>yjham@blueoceansys.com.sg</t>
  </si>
  <si>
    <t>Kamaluddin</t>
  </si>
  <si>
    <t>Noor Mohamad</t>
  </si>
  <si>
    <t>.. Mr Prata_5 Outlets @ SG</t>
  </si>
  <si>
    <t>kamalnmn@yahoo.com</t>
  </si>
  <si>
    <t>Jeremy</t>
  </si>
  <si>
    <t>Choong</t>
  </si>
  <si>
    <t>.. JAX International Pte Ltd @ SG</t>
  </si>
  <si>
    <t xml:space="preserve">jaxintl.co@gmail.com
 </t>
  </si>
  <si>
    <t>Wendy</t>
  </si>
  <si>
    <t>Teo</t>
  </si>
  <si>
    <t>.. Tong Shui Desserts @ SG</t>
  </si>
  <si>
    <t>wendyteo07@gmail.com</t>
  </si>
  <si>
    <t>123 Zo Vietnamese@ SG -- .</t>
  </si>
  <si>
    <t>65 8826 0168</t>
  </si>
  <si>
    <t>The Sandwich Shop &amp; The Salad Stop @ SG -- .</t>
  </si>
  <si>
    <t>65 8127 4161</t>
  </si>
  <si>
    <t>Ambrose</t>
  </si>
  <si>
    <t>Mak</t>
  </si>
  <si>
    <t xml:space="preserve">.. Karubi Singapore Pte Ltd @ SG
</t>
  </si>
  <si>
    <t>ambrosemmf@hotmail.com</t>
  </si>
  <si>
    <t>Jenny</t>
  </si>
  <si>
    <t>Law</t>
  </si>
  <si>
    <t>.. Mr. Piglet @ SG</t>
  </si>
  <si>
    <t>Shereen</t>
  </si>
  <si>
    <t>.. Adam’s Kitchen &amp; Catering Pte Ltd @ SG</t>
  </si>
  <si>
    <t>Shereen@wordeventscatering.com</t>
  </si>
  <si>
    <t>8800 4248</t>
  </si>
  <si>
    <t>.. BB&amp;B - Bread, Beer &amp; Brez'n BBNB @ SG</t>
  </si>
  <si>
    <t>kenny@la-marca.com</t>
  </si>
  <si>
    <t>Grace Lee</t>
  </si>
  <si>
    <t>.. Charge Residences @ SG</t>
  </si>
  <si>
    <t>rechargeresidences@gmail.com</t>
  </si>
  <si>
    <t>Bernice</t>
  </si>
  <si>
    <t>Fong</t>
  </si>
  <si>
    <t>.. The Privé Group @ SG</t>
  </si>
  <si>
    <t>bernice.fong@prive.com.sg</t>
  </si>
  <si>
    <t>.. Arteasg @ SG</t>
  </si>
  <si>
    <t>artea.on@gmail.com</t>
  </si>
  <si>
    <t>Afrah</t>
  </si>
  <si>
    <t>Rahman</t>
  </si>
  <si>
    <t>.. Al-Azhar Eating Restaurant Pte Ltd @ SG</t>
  </si>
  <si>
    <t>afrah@alazhar.com.sg</t>
  </si>
  <si>
    <t>Crystalz</t>
  </si>
  <si>
    <t>Ong</t>
  </si>
  <si>
    <t>.. SG Life Concepts Pte Ltd @ SG</t>
  </si>
  <si>
    <t>crystalzatswipe@gmail.com</t>
  </si>
  <si>
    <t>Jiayi</t>
  </si>
  <si>
    <t>Chen</t>
  </si>
  <si>
    <t>.. Bighouse Private Limited @ SG</t>
  </si>
  <si>
    <t>jiayi3@gmail.com</t>
  </si>
  <si>
    <t>Cathay cineplex pte Ltd @ SG -- Incoming Call ..</t>
  </si>
  <si>
    <t>65  9787 7935</t>
  </si>
  <si>
    <t>Brian</t>
  </si>
  <si>
    <t>Duong</t>
  </si>
  <si>
    <t>.._The Coffee House @ SG</t>
  </si>
  <si>
    <t>duonglephucnguyen@gmail.com</t>
  </si>
  <si>
    <t>Junchen</t>
  </si>
  <si>
    <t>Hong</t>
  </si>
  <si>
    <t>.. FLOC Capital Pte Ltd NUDE Seafood at Marina One</t>
  </si>
  <si>
    <t>junchen@flocgroup.com</t>
  </si>
  <si>
    <t>Velarasan</t>
  </si>
  <si>
    <t>Morrthy</t>
  </si>
  <si>
    <t>.. Ruvela Events &amp; Services @ Singapore</t>
  </si>
  <si>
    <t>ruvela03@gmail.com</t>
  </si>
  <si>
    <t>JESH</t>
  </si>
  <si>
    <t>C</t>
  </si>
  <si>
    <t>.. SHAKESHAKE @ Singapore</t>
  </si>
  <si>
    <t>jesher@shakeshakeinatub.com</t>
  </si>
  <si>
    <t>Jessie</t>
  </si>
  <si>
    <t xml:space="preserve">Low
</t>
  </si>
  <si>
    <t>.. Ark biztro @ SG</t>
  </si>
  <si>
    <t>jessie@medinex.com.sg</t>
  </si>
  <si>
    <t>EPIKebabs @ SG</t>
  </si>
  <si>
    <t xml:space="preserve"> 65 9029 5359</t>
  </si>
  <si>
    <t>Nicah</t>
  </si>
  <si>
    <t>.. Max Restaurant @ SG</t>
  </si>
  <si>
    <t>Sylvester</t>
  </si>
  <si>
    <t>Pang</t>
  </si>
  <si>
    <t>.. Rasa Rasa @ SG</t>
  </si>
  <si>
    <t>sylvester@rasarasa.sg</t>
  </si>
  <si>
    <t>Wong</t>
  </si>
  <si>
    <t>Siew Keong</t>
  </si>
  <si>
    <t>.. Kok Sen Pte Ltd @ SG</t>
  </si>
  <si>
    <t>jacky@koksen.com.sg</t>
  </si>
  <si>
    <t>Richard</t>
  </si>
  <si>
    <t>.. Nanjing Impressions @ SG</t>
  </si>
  <si>
    <t>zhangyiwen@dahuigroup.com.cn</t>
  </si>
  <si>
    <t>Mark</t>
  </si>
  <si>
    <t>Chua</t>
  </si>
  <si>
    <t>.. Senshi Pte Ltd @ SG</t>
  </si>
  <si>
    <t>mark@senshi.com.sg</t>
  </si>
  <si>
    <t>TASTE Restaurant .. @ SG</t>
  </si>
  <si>
    <t>Jia Yu</t>
  </si>
  <si>
    <t>Siow</t>
  </si>
  <si>
    <t>.. Sweet Cheeks @ SG</t>
  </si>
  <si>
    <t>jiayu@sweetcheeksgelato.com</t>
  </si>
  <si>
    <t>David</t>
  </si>
  <si>
    <t>Loh</t>
  </si>
  <si>
    <t>DurianBB Holdings Pte Ltd .. @ SG</t>
  </si>
  <si>
    <t>david@durianbb.com</t>
  </si>
  <si>
    <t>Zhou Ji Pte Ltd @ SG .. . from .</t>
  </si>
  <si>
    <t>65 9641 4962</t>
  </si>
  <si>
    <t>Andy</t>
  </si>
  <si>
    <t>GF ENTERPRISE @ SG ..</t>
  </si>
  <si>
    <t>teozhiqiang@gmail.com</t>
  </si>
  <si>
    <t>.. Denzy Gelato @ SG</t>
  </si>
  <si>
    <t xml:space="preserve"> kladiators Pte ltd or beans party desserts pte ltd </t>
  </si>
  <si>
    <t>65 82239390</t>
  </si>
  <si>
    <t>Felix</t>
  </si>
  <si>
    <t>Halim</t>
  </si>
  <si>
    <t>.. Sapore Italian Restaurant @ SG</t>
  </si>
  <si>
    <t>ace-associates@outlook.com</t>
  </si>
  <si>
    <t>Hock Lam Beef @ SG-- ..</t>
  </si>
  <si>
    <t>9682 7870</t>
  </si>
  <si>
    <t>Adrian</t>
  </si>
  <si>
    <t>Houghton</t>
  </si>
  <si>
    <t>.. Accor Novotel on Stevens Mercure on Stevens SG</t>
  </si>
  <si>
    <t>adrian.houghton@accor.com</t>
  </si>
  <si>
    <t>Pig N Whistle Pte Ltd @ SG ..</t>
  </si>
  <si>
    <t>8866 1666</t>
  </si>
  <si>
    <t>Mr. Zhi Hao</t>
  </si>
  <si>
    <t>.. Java Kitchen @ SG</t>
  </si>
  <si>
    <t>65 9732 6998</t>
  </si>
  <si>
    <t>Sam</t>
  </si>
  <si>
    <t>Lium</t>
  </si>
  <si>
    <t>.. Seng Huat Western Foodcourt Model</t>
  </si>
  <si>
    <t>maxinelhl@gmail.com</t>
  </si>
  <si>
    <t>Mr. Simon</t>
  </si>
  <si>
    <t>Geylang Lor 9 Frog Porridge @ SG -- .. .</t>
  </si>
  <si>
    <t>65 8828 4888</t>
  </si>
  <si>
    <t>Charlie</t>
  </si>
  <si>
    <t>.. Kelo Food Pte Ltd @ SG (Kelo Gastro Bar)</t>
  </si>
  <si>
    <t>kelogastrobar@gmail.com</t>
  </si>
  <si>
    <t>Koji</t>
  </si>
  <si>
    <t>Shiraishi</t>
  </si>
  <si>
    <t>Kohaku Global Pte Ltd @ SG ..</t>
  </si>
  <si>
    <t>koji@tendonkohaku.com</t>
  </si>
  <si>
    <t>Lawrence</t>
  </si>
  <si>
    <t>Leow</t>
  </si>
  <si>
    <t>.. Vankind Holdings Pte Ltd @ SG</t>
  </si>
  <si>
    <t>lawleow@hotmail.com</t>
  </si>
  <si>
    <t>Bistro @ Little India--</t>
  </si>
  <si>
    <t>Ramze10@gmail.com</t>
  </si>
  <si>
    <t>65 87544476</t>
  </si>
  <si>
    <t>Robert</t>
  </si>
  <si>
    <t>Ashley</t>
  </si>
  <si>
    <t>.. Cheers Cafe @ SG</t>
  </si>
  <si>
    <t>roboash71@gmail.com</t>
  </si>
  <si>
    <t>Jarenhow</t>
  </si>
  <si>
    <t>. .. Cafe 21 @ Singapore</t>
  </si>
  <si>
    <t>Jarenhow@hotmail.com</t>
  </si>
  <si>
    <t>8146 2121</t>
  </si>
  <si>
    <t>.Tai Feng Wei @ SG</t>
  </si>
  <si>
    <t>9683 5915</t>
  </si>
  <si>
    <t>.. Sago House @ SG</t>
  </si>
  <si>
    <t>jam@gmail.com</t>
  </si>
  <si>
    <t>Ralph</t>
  </si>
  <si>
    <t>Tan Ming Yuan</t>
  </si>
  <si>
    <t>.._SlaughterHouse Grill Pte Ltd @ SG</t>
  </si>
  <si>
    <t xml:space="preserve">ralphtan816@gmail.com
 </t>
  </si>
  <si>
    <t>Nozomi Japanese Restaurant @ SG -- ..</t>
  </si>
  <si>
    <t>65 9111 8238</t>
  </si>
  <si>
    <t>Petite Menu @ Paya Lebar SG</t>
  </si>
  <si>
    <t>65 9792 5550</t>
  </si>
  <si>
    <t>Alexia</t>
  </si>
  <si>
    <t>Chew</t>
  </si>
  <si>
    <t>.. Vie Collection @ SG - . Kiosk .</t>
  </si>
  <si>
    <t>maejeenn@gmail.com</t>
  </si>
  <si>
    <t>Junguang</t>
  </si>
  <si>
    <t>Guo</t>
  </si>
  <si>
    <t xml:space="preserve">.. Iki Concepts Pte Ltd @ SG
</t>
  </si>
  <si>
    <t>junguang.guo@ikiconcepts.com</t>
  </si>
  <si>
    <t>Vinod</t>
  </si>
  <si>
    <t>Turairas</t>
  </si>
  <si>
    <t>.. Bistro @ SG</t>
  </si>
  <si>
    <t>doniv_@hotmail.com</t>
  </si>
  <si>
    <t>Al Majlis @ SG -- 2023 .</t>
  </si>
  <si>
    <t>Gero</t>
  </si>
  <si>
    <t>Dimaria</t>
  </si>
  <si>
    <t>Kucina Italian restaurant</t>
  </si>
  <si>
    <t xml:space="preserve">gero@kucinaitalian.com
 </t>
  </si>
  <si>
    <t>Chin Rong</t>
  </si>
  <si>
    <t>Takagi Ramen @ SG --..</t>
  </si>
  <si>
    <t>chinrongwong@gmail.com</t>
  </si>
  <si>
    <t>Bryan</t>
  </si>
  <si>
    <t>.. Usuauaua @ SG</t>
  </si>
  <si>
    <t>bryantanshihysuen123123@gmail.com</t>
  </si>
  <si>
    <t>Stella</t>
  </si>
  <si>
    <t>Bread Yard @ SG _ ..</t>
  </si>
  <si>
    <t>65 9736 7326</t>
  </si>
  <si>
    <t>Ben</t>
  </si>
  <si>
    <t>Yap</t>
  </si>
  <si>
    <t>.. BYAP AND CO @ SG</t>
  </si>
  <si>
    <t>theurbanhideoutsg@gmail.com</t>
  </si>
  <si>
    <t>Jovin</t>
  </si>
  <si>
    <t>Chong</t>
  </si>
  <si>
    <t>.. Good Rich Foods Pte Ltd @ SG</t>
  </si>
  <si>
    <t>admin@goodrichfoods.biz</t>
  </si>
  <si>
    <t>.. Licking good times pte ltd @ SG</t>
  </si>
  <si>
    <t>felix.tan@lickers.com.sg</t>
  </si>
  <si>
    <t>Kit, Gabriel</t>
  </si>
  <si>
    <t>.. social, 51B Boat Quay @ SG</t>
  </si>
  <si>
    <t>kit@embreo.global, gabriel.leong@affluent.sg</t>
  </si>
  <si>
    <t>9125 6736</t>
  </si>
  <si>
    <t>.. Name Great Nanyang, selling coffee, toast and all day menu @ SG</t>
  </si>
  <si>
    <t>65 8753 1850</t>
  </si>
  <si>
    <t>.Winfood SG</t>
  </si>
  <si>
    <t>jason.lin@winfood.sg</t>
  </si>
  <si>
    <t>Shahab</t>
  </si>
  <si>
    <t>Kebabchi Charcoal BBQ--Expanding Outlet</t>
  </si>
  <si>
    <t>65 8161 2690</t>
  </si>
  <si>
    <t>Sean</t>
  </si>
  <si>
    <t>YAYOI @ SG_ID_MY--2023 Call Lead</t>
  </si>
  <si>
    <t xml:space="preserve">65 8571 8168 </t>
  </si>
  <si>
    <t>Aditya</t>
  </si>
  <si>
    <t>2023 . . Lead Small stall In kelapa gading</t>
  </si>
  <si>
    <t>Adityalimawan89@gmail.com</t>
  </si>
  <si>
    <t>.. . Srisun Express Pte Ltd @ SG</t>
  </si>
  <si>
    <t>65 9388 3802</t>
  </si>
  <si>
    <t>Fiona</t>
  </si>
  <si>
    <t>2023 . . Lead Whiskdom @ SG</t>
  </si>
  <si>
    <t>65 8198 8972</t>
  </si>
  <si>
    <t>Jargalmaa</t>
  </si>
  <si>
    <t>Undeejav</t>
  </si>
  <si>
    <t>.. .itivity Cafe @ SG</t>
  </si>
  <si>
    <t>j.undeejav@gmail.com</t>
  </si>
  <si>
    <t>.. Fangko @ SG</t>
  </si>
  <si>
    <t>65 9231 8849</t>
  </si>
  <si>
    <t>Raymond</t>
  </si>
  <si>
    <t>.. Fruitful collab pte ltd Foodcourt @ SG</t>
  </si>
  <si>
    <t>ha2ards@ymail.com</t>
  </si>
  <si>
    <t>Raj Devan</t>
  </si>
  <si>
    <t>Gabbar Bistro &amp; Bar Pte Ltd @ Clarq Quay</t>
  </si>
  <si>
    <t>60 16-539 3419</t>
  </si>
  <si>
    <t>Emily</t>
  </si>
  <si>
    <t>Yii</t>
  </si>
  <si>
    <t>.. Kantin Group (Asia) Pte Ltd</t>
  </si>
  <si>
    <t>kantin.hello@gmail.com</t>
  </si>
  <si>
    <t>Mr. Ling</t>
  </si>
  <si>
    <t>Xiang Xiang Hunan Cuisine @ SG - 2023 . Call .</t>
  </si>
  <si>
    <t>65 8129 9370</t>
  </si>
  <si>
    <t>Leong Weng Thye</t>
  </si>
  <si>
    <t>Jimmy Monkey Café @ SG_.. Re: Café tie-up</t>
  </si>
  <si>
    <t>cyberzero@gmail.com</t>
  </si>
  <si>
    <t>Patrick</t>
  </si>
  <si>
    <t>Tay</t>
  </si>
  <si>
    <t>.. Moin Moin Gelato @ SG</t>
  </si>
  <si>
    <t>patrick.taycs@gmail.com</t>
  </si>
  <si>
    <t>Coffee Shop @ SG -- .. 2023</t>
  </si>
  <si>
    <t>65 8322 8861</t>
  </si>
  <si>
    <t>Thinesh</t>
  </si>
  <si>
    <t>..3 monkeys @ SG -- 2023</t>
  </si>
  <si>
    <t>Thineshkfr987@gmail.com</t>
  </si>
  <si>
    <t>Singapore Recreation Club - .. . Call .</t>
  </si>
  <si>
    <t>65 9795 4628</t>
  </si>
  <si>
    <t>Jiao</t>
  </si>
  <si>
    <t>Fang</t>
  </si>
  <si>
    <t>.. H&amp;J TIBET PTE LTD @ SG</t>
  </si>
  <si>
    <t>fangjiao0422@126.com</t>
  </si>
  <si>
    <t>Song Birds bar &amp; bistro @ SG - 2023 . Lead</t>
  </si>
  <si>
    <t>65 8670 1438</t>
  </si>
  <si>
    <t>.. Great Nanyang @ SG - . .</t>
  </si>
  <si>
    <t>.. Piadini Iitalian Streats @ SG</t>
  </si>
  <si>
    <t>65 8509 2131</t>
  </si>
  <si>
    <t>Joyce</t>
  </si>
  <si>
    <t>Amore Restaurant Group (Amo pasta) @ SG -MR</t>
  </si>
  <si>
    <t>Chanlala@yahoo.com.hk</t>
  </si>
  <si>
    <t>Andrew</t>
  </si>
  <si>
    <t>Chok</t>
  </si>
  <si>
    <t>.. Hyacinth Concepts Pte Ltd @ SG</t>
  </si>
  <si>
    <t>andrew@hyacinth.sg</t>
  </si>
  <si>
    <t>keith</t>
  </si>
  <si>
    <t>koh</t>
  </si>
  <si>
    <t>The lad collective pte ltd @ SG</t>
  </si>
  <si>
    <t>ladandcosg@gmail.com</t>
  </si>
  <si>
    <t>Chris</t>
  </si>
  <si>
    <t>Just ACIA @ SG - 2023 2023</t>
  </si>
  <si>
    <t>chris@justacia.com, chrisangcs@yahoo.com</t>
  </si>
  <si>
    <t>65 9780 3189.</t>
  </si>
  <si>
    <t>Di Mare at Karma Kandara @ SG</t>
  </si>
  <si>
    <t>62 823-1262-8279</t>
  </si>
  <si>
    <t>Nathaniel</t>
  </si>
  <si>
    <t>Soh</t>
  </si>
  <si>
    <t>.. Capita Land @ SG - 1 Outlet</t>
  </si>
  <si>
    <t>nathaniel.soh@capitaland.com</t>
  </si>
  <si>
    <t>DAPHNE</t>
  </si>
  <si>
    <t>.. Uncle Meow Pte Ltd @ SG</t>
  </si>
  <si>
    <t>unclemeow.finance@gmail.com</t>
  </si>
  <si>
    <t>Margarita</t>
  </si>
  <si>
    <t>Cafe Tailor Made @ SG - 2023 . .</t>
  </si>
  <si>
    <t>Peter</t>
  </si>
  <si>
    <t>.eidon @ SG_ Deliver Excellence with .. – Your Gateway to Unified Order Management</t>
  </si>
  <si>
    <t>peter@.eidon.com.sg</t>
  </si>
  <si>
    <t>.. Joya Onsen Cafe @ SG</t>
  </si>
  <si>
    <t>fairozkareem@gmail.com</t>
  </si>
  <si>
    <t>65 9101 6937</t>
  </si>
  <si>
    <t>Nhat Linh</t>
  </si>
  <si>
    <t>Nguyen</t>
  </si>
  <si>
    <t>Sagye Pte Ltd @ SG -- ..</t>
  </si>
  <si>
    <t>sagyekoreanrestaurant@gmail.com</t>
  </si>
  <si>
    <t>Erica</t>
  </si>
  <si>
    <t>.. Ywca cafe lodge @ Fort Canning Road</t>
  </si>
  <si>
    <t>65 9721 7005</t>
  </si>
  <si>
    <t>Sharul</t>
  </si>
  <si>
    <t>.Black Sheep Cafe @ SG</t>
  </si>
  <si>
    <t>Sharul@pridesg.co</t>
  </si>
  <si>
    <t>8613 4026</t>
  </si>
  <si>
    <t>Dry food pop up stalls and expo Stalls - for Payment . @ EXPO SG</t>
  </si>
  <si>
    <t>65 8802 1918</t>
  </si>
  <si>
    <t>John</t>
  </si>
  <si>
    <t>.Le Matin @ SG</t>
  </si>
  <si>
    <t>john@benjaminbarker.com.au</t>
  </si>
  <si>
    <t>Leo</t>
  </si>
  <si>
    <t>Lau</t>
  </si>
  <si>
    <t>.. Food Court HORHORCHI CHINESE FLAVOUR PTE. LTD</t>
  </si>
  <si>
    <t>leo.chaolau@gmail.com</t>
  </si>
  <si>
    <t>Terence</t>
  </si>
  <si>
    <t>Lim</t>
  </si>
  <si>
    <t>.. Have Fun Karaoke @ SG 11 Outlets</t>
  </si>
  <si>
    <t>terence@goodwillsg.com</t>
  </si>
  <si>
    <t>Tangkak Bak Kut Teh @ SG - ..</t>
  </si>
  <si>
    <t>Mikhael</t>
  </si>
  <si>
    <t>2023 2023 - High Bar Society @ SG Central +65 9753 7231</t>
  </si>
  <si>
    <t>Mikhaelsangyx@gmail.com</t>
  </si>
  <si>
    <t>65 9753 7231</t>
  </si>
  <si>
    <t>2023Cafe 21 @ SG-+65 8146 2121</t>
  </si>
  <si>
    <t>65 8146 2121</t>
  </si>
  <si>
    <t>Andrea</t>
  </si>
  <si>
    <t>Ngo</t>
  </si>
  <si>
    <t>.. Lin Yu Mei Pte Ltd @ SG</t>
  </si>
  <si>
    <t>andrea.ngo.ey@gmail.com</t>
  </si>
  <si>
    <t>Lena</t>
  </si>
  <si>
    <t>.. Forest Dart Cafe</t>
  </si>
  <si>
    <t xml:space="preserve">	forestdartscafe@gmail.com</t>
  </si>
  <si>
    <t>65 8484 2606</t>
  </si>
  <si>
    <t>2023http://www.patio.sg/ - Hawker Cente</t>
  </si>
  <si>
    <t>65 9845 5653</t>
  </si>
  <si>
    <t>Ms. SU</t>
  </si>
  <si>
    <t>.. chengdu restaurant @ 96 AMOY STREET</t>
  </si>
  <si>
    <t>65 8437 9208</t>
  </si>
  <si>
    <t>Khyiel</t>
  </si>
  <si>
    <t>.. MADE GROUP @ SG Re: . from made group- tab square</t>
  </si>
  <si>
    <t>Khyiel.Chua@madegroup.com</t>
  </si>
  <si>
    <t>65 97667774</t>
  </si>
  <si>
    <t>3 Monkeys @ SG - 2023 . Lead</t>
  </si>
  <si>
    <t>65 8899 8474</t>
  </si>
  <si>
    <t>.. . 老地方川菜小馆 Old Reunion Chinese Restaurant @ Jalan Basar SG</t>
  </si>
  <si>
    <t>65 8683 1994</t>
  </si>
  <si>
    <t>2023 . . Lead Haig Road Putu Piring @ SG</t>
  </si>
  <si>
    <t>hrppoffice4@gmail.com</t>
  </si>
  <si>
    <t>65 9797 5635</t>
  </si>
  <si>
    <t>peter</t>
  </si>
  <si>
    <t>roberts</t>
  </si>
  <si>
    <t>Nonna's @ SG - 2023 ..</t>
  </si>
  <si>
    <t>peter@produktive.me</t>
  </si>
  <si>
    <t>Yee Ling</t>
  </si>
  <si>
    <t>2023 . SLSC PTE LTD SWEELEE CAFE @ SG SQUARE UP .</t>
  </si>
  <si>
    <t>yeeling.lim@sweelee.com.sg</t>
  </si>
  <si>
    <t>Christopher</t>
  </si>
  <si>
    <t>Chan</t>
  </si>
  <si>
    <t>.. Casa Brazilia @ SG to SG</t>
  </si>
  <si>
    <t>pleasantcoaching@gmail.com</t>
  </si>
  <si>
    <t xml:space="preserve">.. Swee Lee @ SG
</t>
  </si>
  <si>
    <t>.. Shi San Yao, Central area @ SG</t>
  </si>
  <si>
    <t xml:space="preserve">	Mengyang00my@gmail.com</t>
  </si>
  <si>
    <t>65 9692 0596</t>
  </si>
  <si>
    <t>Derrick</t>
  </si>
  <si>
    <t>.. Hong Yun Kitchen @ SG</t>
  </si>
  <si>
    <t>derrickchiam1234@gmail.com</t>
  </si>
  <si>
    <t>HAN</t>
  </si>
  <si>
    <t>.. The Burning Oak Pte Ltd @ SG</t>
  </si>
  <si>
    <t>hanzj@hotmail.sg</t>
  </si>
  <si>
    <t>2023 2023 F&amp;B: Heritage Yong Tau Foo Address: Marina One - The Heart</t>
  </si>
  <si>
    <t>65 9667 4849</t>
  </si>
  <si>
    <t>Frank Chen</t>
  </si>
  <si>
    <t xml:space="preserve">2023 2023 Pig N Whistle Pte Ltd East SG </t>
  </si>
  <si>
    <t>Frankchen1666@gmail.com</t>
  </si>
  <si>
    <t>65 8866 1666</t>
  </si>
  <si>
    <t xml:space="preserve">Jung
</t>
  </si>
  <si>
    <t>Kim</t>
  </si>
  <si>
    <t>.. Junghee pte.ltd @ SG - . QR Solution .</t>
  </si>
  <si>
    <t>jameskimjung@gmail.com</t>
  </si>
  <si>
    <t>Stephen</t>
  </si>
  <si>
    <t>Jacob</t>
  </si>
  <si>
    <t>.. SJ BURGER @ SG</t>
  </si>
  <si>
    <t>b8809062@north.mailpass.io</t>
  </si>
  <si>
    <t>2023Basasak Chicken</t>
  </si>
  <si>
    <t>65 9223 6613</t>
  </si>
  <si>
    <t>Isaac</t>
  </si>
  <si>
    <t>yap</t>
  </si>
  <si>
    <t>.. Harmony Coffee @ SG - . Pay</t>
  </si>
  <si>
    <t xml:space="preserve">harmonycoffeesg@gmail.com
 </t>
  </si>
  <si>
    <t>eugene</t>
  </si>
  <si>
    <t>tan</t>
  </si>
  <si>
    <t>.. CHM Pte Ltd @ SG</t>
  </si>
  <si>
    <t>eugenetankl@hotmail.com</t>
  </si>
  <si>
    <t xml:space="preserve">Alvin
</t>
  </si>
  <si>
    <t>Phua</t>
  </si>
  <si>
    <t>.. .The Public House</t>
  </si>
  <si>
    <t>thepublichouse.sg@gmail.com</t>
  </si>
  <si>
    <t>yanjun</t>
  </si>
  <si>
    <t>li</t>
  </si>
  <si>
    <t>Wan Jia Pte Ltd @ SG Catering Service Menu</t>
  </si>
  <si>
    <t>sleep_21@163.com</t>
  </si>
  <si>
    <t>Yuga</t>
  </si>
  <si>
    <t>Thavendren</t>
  </si>
  <si>
    <t>.. Seva Vegetarian Cafe Pte Ltd @ SG</t>
  </si>
  <si>
    <t xml:space="preserve">sevacafesg@gmail.com
 </t>
  </si>
  <si>
    <t>Shannon</t>
  </si>
  <si>
    <t xml:space="preserve">Ching
</t>
  </si>
  <si>
    <t>.. Shannon Charr Kitchen @ SG</t>
  </si>
  <si>
    <t>shancharrr@gmail.com</t>
  </si>
  <si>
    <t>Tristan</t>
  </si>
  <si>
    <t>Give me a braek @ SG - 2023 .</t>
  </si>
  <si>
    <t>Tristan.lim@givemeabraek.com</t>
  </si>
  <si>
    <t>65 8284 4030</t>
  </si>
  <si>
    <t>F&amp;B - Japanese restaurant New sign up Stephen</t>
  </si>
  <si>
    <t>65 8868 8831</t>
  </si>
  <si>
    <t>Seah</t>
  </si>
  <si>
    <t>La Coffee @ SG Raffles Blvd - 2023 .</t>
  </si>
  <si>
    <t>seah_yong_tat@hotmail.com</t>
  </si>
  <si>
    <t>65 9651 1709</t>
  </si>
  <si>
    <t>Nicholas</t>
  </si>
  <si>
    <t>.. Calligraph Coffee @ SG -2023</t>
  </si>
  <si>
    <t>nicholas@calligraphcoffee.com</t>
  </si>
  <si>
    <t>ann</t>
  </si>
  <si>
    <t>phun</t>
  </si>
  <si>
    <t>margie the market bar @ SG 38 Margaret Dr, #01-01, Singapore 141038 - .. ..</t>
  </si>
  <si>
    <t xml:space="preserve">annphun@bethesda.com.sg
 </t>
  </si>
  <si>
    <t>brenda</t>
  </si>
  <si>
    <t>qiqi</t>
  </si>
  <si>
    <t>J &amp; Q Xperts Bakery - ..</t>
  </si>
  <si>
    <t>brenda.qiqi.jeremiah@gmail.com</t>
  </si>
  <si>
    <t>15 five 3 Pte Ltd @ SG - .. . - Google Search</t>
  </si>
  <si>
    <t>65 9021 8835</t>
  </si>
  <si>
    <t>Sharon</t>
  </si>
  <si>
    <t>Lee</t>
  </si>
  <si>
    <t xml:space="preserve">Xiaoming Mu Kratha
</t>
  </si>
  <si>
    <t>sharonleelim@gmail.com</t>
  </si>
  <si>
    <t xml:space="preserve">Pei Xuan
</t>
  </si>
  <si>
    <t>.. Swee Lee Social Club @ SG</t>
  </si>
  <si>
    <t>peixuan.chan@sweelee.com.sg</t>
  </si>
  <si>
    <t>Eclaire</t>
  </si>
  <si>
    <t>Yeo</t>
  </si>
  <si>
    <t xml:space="preserve">.. Tropical café @ SG - ..
</t>
  </si>
  <si>
    <t>yeo_eclaire@students.edu.sg</t>
  </si>
  <si>
    <t>Lynn</t>
  </si>
  <si>
    <t>Hamzah</t>
  </si>
  <si>
    <t>.. Okra By SWG LLP @ SG Blk 4 Changi village Road #01-2086 Singapore 500004</t>
  </si>
  <si>
    <t xml:space="preserve">
okrabyswg@gmail.com</t>
  </si>
  <si>
    <t>Audrey</t>
  </si>
  <si>
    <t xml:space="preserve">.. Mdream @ SG - ..
</t>
  </si>
  <si>
    <t xml:space="preserve">
kupbaandeedee@gmail.com
 </t>
  </si>
  <si>
    <t xml:space="preserve">.. Singapore, Anyi noodles @ International Plaza 
</t>
  </si>
  <si>
    <t>Anyi.noodles@gmail.com,</t>
  </si>
  <si>
    <t>Roky</t>
  </si>
  <si>
    <t>LU</t>
  </si>
  <si>
    <t>NA</t>
  </si>
  <si>
    <t xml:space="preserve">luhui0812@outlook.com
 </t>
  </si>
  <si>
    <t>Corporate canteens . @ SG</t>
  </si>
  <si>
    <t>65 9829 5857</t>
  </si>
  <si>
    <t>Wilson</t>
  </si>
  <si>
    <t>Adrianus</t>
  </si>
  <si>
    <t>.. Food Trot PTE LTD @ SG</t>
  </si>
  <si>
    <t>wilson@fullcircleholding.com</t>
  </si>
  <si>
    <t>97772267_GOLDEN JADE RESTAURANT CULINARY GROUP PTE LTD @ SG goldenjaderest@gmail.com</t>
  </si>
  <si>
    <t>goldenjaderest@gmail.com</t>
  </si>
  <si>
    <t>.. Sun Ray Cafe @ SG - 85433878</t>
  </si>
  <si>
    <t>tanfredericko@gmail.com</t>
  </si>
  <si>
    <t>Chiang</t>
  </si>
  <si>
    <t>.. Kiasu Beancurd and Waffles @ SG</t>
  </si>
  <si>
    <t>raychiang08@gmail.com</t>
  </si>
  <si>
    <t>ALBERT</t>
  </si>
  <si>
    <t>TIAN</t>
  </si>
  <si>
    <t>.. CAFE @ Hydro Powtech Singapore Pte Ltd.</t>
  </si>
  <si>
    <t>alberttian@hydropowtech.com.sg</t>
  </si>
  <si>
    <t>Yating</t>
  </si>
  <si>
    <t>Peng</t>
  </si>
  <si>
    <t>.. - . YT Group</t>
  </si>
  <si>
    <t>e0773076@u.nus.edu</t>
  </si>
  <si>
    <t>Grocer @ SG - .- 91641311</t>
  </si>
  <si>
    <t>khan_u@hotmail.com</t>
  </si>
  <si>
    <t xml:space="preserve">Tasmac at 7 keppel rd @ SG - </t>
  </si>
  <si>
    <t>65 8588 4181</t>
  </si>
  <si>
    <t>Wei</t>
  </si>
  <si>
    <t>Hua</t>
  </si>
  <si>
    <t>.. E pin mala Pte ltd @ SG</t>
  </si>
  <si>
    <t>weihuamb@hotmail.com</t>
  </si>
  <si>
    <t>.. Hippo Box @ SG ., QR ordering, Kiosk &amp; CRM system</t>
  </si>
  <si>
    <t xml:space="preserve">
gohyunsze@gmail.com</t>
  </si>
  <si>
    <t>FRUCE GROUP OF F&amp;B - @ SG</t>
  </si>
  <si>
    <t xml:space="preserve">65 9456 0046 </t>
  </si>
  <si>
    <t>Clare</t>
  </si>
  <si>
    <t>Koh</t>
  </si>
  <si>
    <t>jing5964@gmail.com</t>
  </si>
  <si>
    <t>George</t>
  </si>
  <si>
    <t>Select ordering app . .@ SG The Light Analytics Company</t>
  </si>
  <si>
    <t>georgeseah@thelightanalyticscompany.com</t>
  </si>
  <si>
    <t>.. Food Ordie @ SG - 94497176</t>
  </si>
  <si>
    <t>hello@foodordie.sg</t>
  </si>
  <si>
    <t>Chong Yih Eric Ooi</t>
  </si>
  <si>
    <t>.. Mugiwara, Singapore @ SG +65 8303 3677</t>
  </si>
  <si>
    <t>ericooicy@gmail.com</t>
  </si>
  <si>
    <t>65 8303 3677</t>
  </si>
  <si>
    <t xml:space="preserve">Calibrate Health F&amp;B - </t>
  </si>
  <si>
    <t>65 8766 2638</t>
  </si>
  <si>
    <t>Sharlene Yeo</t>
  </si>
  <si>
    <t>.. - 3 Mins Coffee Singapore - +65 8666 0320</t>
  </si>
  <si>
    <t>ywlsharlene@gmail.com</t>
  </si>
  <si>
    <t>65 8666 0320</t>
  </si>
  <si>
    <t>Billy</t>
  </si>
  <si>
    <t>Ma</t>
  </si>
  <si>
    <t>Ishwarya market research 2022</t>
  </si>
  <si>
    <t>MELCO RESORTS &amp; ENTERTAINMENT</t>
  </si>
  <si>
    <t>billykyma@melco-resorts.com</t>
  </si>
  <si>
    <t>65 81611615</t>
  </si>
  <si>
    <t>Eunice</t>
  </si>
  <si>
    <t>Ng</t>
  </si>
  <si>
    <t>JR Singapore</t>
  </si>
  <si>
    <t>qooeunice@live.com</t>
  </si>
  <si>
    <t>659 0000000</t>
  </si>
  <si>
    <t>Irvine</t>
  </si>
  <si>
    <t>Goh</t>
  </si>
  <si>
    <t>Super Simple 3 Outlets</t>
  </si>
  <si>
    <t>gohchaiseng@hotmail.com</t>
  </si>
  <si>
    <t>96 310288</t>
  </si>
  <si>
    <t>Nicole</t>
  </si>
  <si>
    <t>GC waterway @ SG</t>
  </si>
  <si>
    <t>hq@senji.com.sg</t>
  </si>
  <si>
    <t>91 391633</t>
  </si>
  <si>
    <t>Ruben</t>
  </si>
  <si>
    <t>Na</t>
  </si>
  <si>
    <t>Dapur Penyet 3 Outlets</t>
  </si>
  <si>
    <t>ruben@dapurpenyet.com.sg</t>
  </si>
  <si>
    <t>98 175571</t>
  </si>
  <si>
    <t>Blue Waves Food Empire</t>
  </si>
  <si>
    <t>Call .</t>
  </si>
  <si>
    <t>65 87548450,</t>
  </si>
  <si>
    <t>Ariel</t>
  </si>
  <si>
    <t>Maji Curry (new to market)</t>
  </si>
  <si>
    <t>ariel@sunpark.ne.jp</t>
  </si>
  <si>
    <t>97 412706</t>
  </si>
  <si>
    <t>Elizaveta</t>
  </si>
  <si>
    <t>Nikolaeva</t>
  </si>
  <si>
    <t>Homemade cafe @ SG</t>
  </si>
  <si>
    <t>lishaliza@gmail.com</t>
  </si>
  <si>
    <t>66 00000000</t>
  </si>
  <si>
    <t>Amanda</t>
  </si>
  <si>
    <t>Lu</t>
  </si>
  <si>
    <t xml:space="preserve">Xiang Wei @ SG </t>
  </si>
  <si>
    <t>luyimiao40@gmail.com</t>
  </si>
  <si>
    <t>81 055172</t>
  </si>
  <si>
    <t>Matthew</t>
  </si>
  <si>
    <t>Poh</t>
  </si>
  <si>
    <t>THE CAFFEINE EXPERIENCE PTE LTD @ SG</t>
  </si>
  <si>
    <t>matthew.poh@theofficialtce.com</t>
  </si>
  <si>
    <t>81 0000000</t>
  </si>
  <si>
    <t xml:space="preserve">Breakfast Grill @ SG </t>
  </si>
  <si>
    <t>65 86128807</t>
  </si>
  <si>
    <t>Elijah</t>
  </si>
  <si>
    <t>Yang</t>
  </si>
  <si>
    <t>Jarrell's Pte Ltd @ SG</t>
  </si>
  <si>
    <t>elijah.yang1981@gmail.com</t>
  </si>
  <si>
    <t>98 226064</t>
  </si>
  <si>
    <t>Anna</t>
  </si>
  <si>
    <t>K</t>
  </si>
  <si>
    <t>SFBI (Asia-Pacific) Pte. Ltd. @ SG -- Market research 2022</t>
  </si>
  <si>
    <t>annakoh@sfbi.com.sg</t>
  </si>
  <si>
    <t>63 362910</t>
  </si>
  <si>
    <t>JUAN EMILIO FRANCISCO</t>
  </si>
  <si>
    <t>CAYANAN</t>
  </si>
  <si>
    <t>Uniq-taste @ SG -- Market research 2022</t>
  </si>
  <si>
    <t>jefdecello@hotmail.com</t>
  </si>
  <si>
    <t>Lester</t>
  </si>
  <si>
    <t>SATS @ SG -- Market research 2022</t>
  </si>
  <si>
    <t>lester_gohqx@sats.com.sg</t>
  </si>
  <si>
    <t>Syahruramadhan</t>
  </si>
  <si>
    <t>Rumi The Poets Cup @ SG -- Market research 2022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</si>
  <si>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</si>
  <si>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</si>
  <si>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</si>
  <si>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</si>
  <si>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</si>
  <si>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Jow</t>
  </si>
  <si>
    <t>Leong</t>
  </si>
  <si>
    <t>Little Island Brewery Co. Ltd @ SG -- Market research 2022</t>
  </si>
  <si>
    <t>it.system.guy@gmail.com,</t>
  </si>
  <si>
    <t>Lai Lai Taiwan Dining @ CSQ Mall Kicthener Road --. to . Pte Ltd</t>
  </si>
  <si>
    <t>65 9489 4330</t>
  </si>
  <si>
    <t>gurmeet</t>
  </si>
  <si>
    <t>Kaur</t>
  </si>
  <si>
    <t>Hangries Indian Restaurant @ SG --. to . Pte Ltd</t>
  </si>
  <si>
    <t>65 9837 537</t>
  </si>
  <si>
    <t>Alchemy bistro pte ltd @ SG -- Market research 2022</t>
  </si>
  <si>
    <t>65 8333 2444</t>
  </si>
  <si>
    <t>Jen Fi</t>
  </si>
  <si>
    <t>Reedz Cafe @ SG -- Market research 2022</t>
  </si>
  <si>
    <t>jenfi@reedzcafe.com</t>
  </si>
  <si>
    <t>Hazel</t>
  </si>
  <si>
    <t>chua</t>
  </si>
  <si>
    <t>Heng Kitchen @ SG -- Market research 2022</t>
  </si>
  <si>
    <t>wlchua.hazel@gmail.com</t>
  </si>
  <si>
    <t>annee</t>
  </si>
  <si>
    <t>Lai</t>
  </si>
  <si>
    <t>2 SIX Pte Ltd @ SG -- SG</t>
  </si>
  <si>
    <t>anneelai@2six.com.sg</t>
  </si>
  <si>
    <t>Jordon</t>
  </si>
  <si>
    <t>The Fed Giraffe @ SG -- Market research 2022</t>
  </si>
  <si>
    <t>jordan.cher@hotmail.com</t>
  </si>
  <si>
    <t>JOJO</t>
  </si>
  <si>
    <t>Loyalty CRM for Katrina Group</t>
  </si>
  <si>
    <t>jojo@katrinagroup.com</t>
  </si>
  <si>
    <t>Tel: 6292 4748 ext. 107 | Fax: 6292 4238</t>
  </si>
  <si>
    <t>Michael</t>
  </si>
  <si>
    <t>Piatkowski</t>
  </si>
  <si>
    <t>Millennium Biltmore LA -- Market research 2022</t>
  </si>
  <si>
    <t>michael.piatkowski@millenniumhotels.com</t>
  </si>
  <si>
    <t>12 100000000</t>
  </si>
  <si>
    <t>Janet</t>
  </si>
  <si>
    <t>. .</t>
  </si>
  <si>
    <t>SC</t>
  </si>
  <si>
    <t>Marks and Spencer Wheelock Cafe --. to . Pte Ltd</t>
  </si>
  <si>
    <t>Kevin</t>
  </si>
  <si>
    <t>Choo</t>
  </si>
  <si>
    <t>Box n Sticks @ SG -- Market research 2022</t>
  </si>
  <si>
    <t>kevin@boxnsticks.com</t>
  </si>
  <si>
    <t>Nazli</t>
  </si>
  <si>
    <t>Gungor</t>
  </si>
  <si>
    <t>Izmir grill pte ltd @ SG -- Market research 2022</t>
  </si>
  <si>
    <t>nazlig.gungor@gmail.com</t>
  </si>
  <si>
    <t>9146 4735</t>
  </si>
  <si>
    <t>Tham</t>
  </si>
  <si>
    <t>Wai Kut</t>
  </si>
  <si>
    <t>Yez F&amp;B Enterprise @ SG -- Takeaway Beverage SG to . Pre Ltd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</si>
  <si>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</si>
  <si>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</si>
  <si>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</si>
  <si>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</si>
  <si>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</si>
  <si>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EeCheng</t>
  </si>
  <si>
    <t>Re: Sourcing for Suitable Solution--Don Don Donki</t>
  </si>
  <si>
    <t>chenggee.ee@dondondonkifyi.com</t>
  </si>
  <si>
    <t>Vincent</t>
  </si>
  <si>
    <t>oh</t>
  </si>
  <si>
    <t>Qiji @ SG -- Market research 2022</t>
  </si>
  <si>
    <t>vincentoh@qiji.com.sg</t>
  </si>
  <si>
    <t>France</t>
  </si>
  <si>
    <t>The Tuckshop - assembly @ SG --. to . Pte Ltd</t>
  </si>
  <si>
    <t>65 9645 9690</t>
  </si>
  <si>
    <t>Dan</t>
  </si>
  <si>
    <t>Selvan</t>
  </si>
  <si>
    <t>Alaudeen DK cuisine @ SG -- Market research 2022</t>
  </si>
  <si>
    <t>dxnztz@gmail.com</t>
  </si>
  <si>
    <t>Joanne</t>
  </si>
  <si>
    <t>Fusion Express @ SG -- Market research 2022</t>
  </si>
  <si>
    <t>teo.joanne@ymail.com</t>
  </si>
  <si>
    <t>Jack</t>
  </si>
  <si>
    <t>Lor</t>
  </si>
  <si>
    <t>SYANTO. PTE LTD @ SG -- Market research 2022</t>
  </si>
  <si>
    <t>lorcheaming@gmail.com</t>
  </si>
  <si>
    <t>Sake Labo</t>
  </si>
  <si>
    <t>Eileen</t>
  </si>
  <si>
    <t>Mangiamo</t>
  </si>
  <si>
    <t>Smile Martabak @.</t>
  </si>
  <si>
    <t>https://martabak.sg/</t>
  </si>
  <si>
    <t>65 9755 8257</t>
  </si>
  <si>
    <t>MS MAY</t>
  </si>
  <si>
    <t>Shangpin Hot Pot 尚品火锅 @ SG --. to . Pte Ltd</t>
  </si>
  <si>
    <t>8878 6656</t>
  </si>
  <si>
    <t>BTL enterprises pte ltd - lilys Restaurant @ SG-- Market research 2022</t>
  </si>
  <si>
    <t>lleekuok@gmail.com</t>
  </si>
  <si>
    <t>Da Paolo Group --. for . Web Solutiuons</t>
  </si>
  <si>
    <t>https://www.dapaolo.com.sg/home</t>
  </si>
  <si>
    <t>9847 7970 Ms. Preewetha</t>
  </si>
  <si>
    <t>Humble Origins @ SG -- Market research 2022</t>
  </si>
  <si>
    <t>Artisser Coffee Club @ SG -- SG</t>
  </si>
  <si>
    <t>Yuan Min @ SG -- Market research 2022</t>
  </si>
  <si>
    <t>T</t>
  </si>
  <si>
    <t>Talking food @ SG -- Market research 2022</t>
  </si>
  <si>
    <t>talking_food@yahoo.com</t>
  </si>
  <si>
    <t>Keith</t>
  </si>
  <si>
    <t>Yong</t>
  </si>
  <si>
    <t>Limitless F&amp;B @ SG -- Sit Down Dining 1-2 Outlets - SG</t>
  </si>
  <si>
    <t>keithyss1990@gmail.com</t>
  </si>
  <si>
    <t>New restaurant(near Tanjong Pagar -- SG</t>
  </si>
  <si>
    <t>Colin</t>
  </si>
  <si>
    <t>Hello Concepts Pte Ltd @ SG -- Market research 2022</t>
  </si>
  <si>
    <t>colin@hellocollectivegroup.com</t>
  </si>
  <si>
    <t>Gan</t>
  </si>
  <si>
    <t>Guoyi</t>
  </si>
  <si>
    <t>Jigger &amp; Pony Pte Ltd @ SG -- Market research 2022</t>
  </si>
  <si>
    <t>guoyi@jiggerandpony.com</t>
  </si>
  <si>
    <t>Marco</t>
  </si>
  <si>
    <t>Hans IM Gluck @ SG -- 5 Outlets -- Market research 2022</t>
  </si>
  <si>
    <t>m.basile@hig-burgergrill.sg</t>
  </si>
  <si>
    <t>Petric</t>
  </si>
  <si>
    <t>GOLD KIMCHI @ SG -- Re: ishwarya research ISH to . Pte Ltd</t>
  </si>
  <si>
    <t>www.goldkimchi.sg</t>
  </si>
  <si>
    <t>Hui</t>
  </si>
  <si>
    <t>Jie</t>
  </si>
  <si>
    <t>Bumbu @ SG 44 Kandahar St_ . WEB &amp; . TAB - Market research 2022</t>
  </si>
  <si>
    <t>bumbusg@gmail.com</t>
  </si>
  <si>
    <t>Email .</t>
  </si>
  <si>
    <t>TALK DARTS @ Lavender --. to . Pte Ltd</t>
  </si>
  <si>
    <t>65 87671021 Info@talkdatrts.org</t>
  </si>
  <si>
    <t>Haha Hotpot @ SG -- Market research 2022</t>
  </si>
  <si>
    <t>Sheena</t>
  </si>
  <si>
    <t>Hard Rock Cafe HPL F&amp;B @ SG --. to . Pte Ltd</t>
  </si>
  <si>
    <t>Shredde</t>
  </si>
  <si>
    <t>Each a Cup @ SG -- Market research 2022</t>
  </si>
  <si>
    <t>Shreddedtwin96@gmail.com</t>
  </si>
  <si>
    <t>9009 9040.</t>
  </si>
  <si>
    <t>Dylan</t>
  </si>
  <si>
    <t>Wingstop SG -- Market research 2022</t>
  </si>
  <si>
    <t>dylangohjk@yahoo.com.sg</t>
  </si>
  <si>
    <t>Jerome</t>
  </si>
  <si>
    <t>Wee</t>
  </si>
  <si>
    <t>Punch Entertainment</t>
  </si>
  <si>
    <t>jerome@punchentertainment.sg</t>
  </si>
  <si>
    <t>Shawn</t>
  </si>
  <si>
    <t>NIL</t>
  </si>
  <si>
    <t>shawntan19997@yahoo.com.sg</t>
  </si>
  <si>
    <t>Naveed</t>
  </si>
  <si>
    <t>Wangsa</t>
  </si>
  <si>
    <t>Eat me global @ SG -- Partnership .</t>
  </si>
  <si>
    <t>naveed.w@eatmeglobal.com</t>
  </si>
  <si>
    <t>65 6012 9591</t>
  </si>
  <si>
    <t>Ai Ling</t>
  </si>
  <si>
    <t>JC Global Sg Pte Ltd</t>
  </si>
  <si>
    <t>lauailing2112@gmail.com</t>
  </si>
  <si>
    <t>Gourmet Burgers -- new start up @ SG -- Market research 2022</t>
  </si>
  <si>
    <t>8780 6339</t>
  </si>
  <si>
    <t>Tiara</t>
  </si>
  <si>
    <t>Aquila</t>
  </si>
  <si>
    <t>Tanamera Pte Ltd</t>
  </si>
  <si>
    <t>dwi.tiara@tanameracoffee.com</t>
  </si>
  <si>
    <t>Ean</t>
  </si>
  <si>
    <t>Cheong</t>
  </si>
  <si>
    <t>Lele Bakery SG LLP</t>
  </si>
  <si>
    <t>lelesgpore@gmail.com</t>
  </si>
  <si>
    <t>Lele Bakery SG LLP @ SG -- Market research 2022</t>
  </si>
  <si>
    <t>Anne</t>
  </si>
  <si>
    <t>KaszturA</t>
  </si>
  <si>
    <t>Voco Orchard Singapore an IHG hotel</t>
  </si>
  <si>
    <t>anne.kasztura1@ihg.com</t>
  </si>
  <si>
    <t>Javier</t>
  </si>
  <si>
    <t>javierphua@gmail.com</t>
  </si>
  <si>
    <t>Olivia</t>
  </si>
  <si>
    <t>301 Punggol Chill's Pte Ltd @ SG -- Market research 2022</t>
  </si>
  <si>
    <t>olivia.koh87@gmail.com</t>
  </si>
  <si>
    <t>9123 8920</t>
  </si>
  <si>
    <t>House of White Bee Hoon @ Punggol -- ishwarya research . .</t>
  </si>
  <si>
    <t>65 8828 9000</t>
  </si>
  <si>
    <t>Tana Mera Coffee @ SG-- Market research 2022</t>
  </si>
  <si>
    <t>Citibank Partnership . to . Pte Ltd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</si>
  <si>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</si>
  <si>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</si>
  <si>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</si>
  <si>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</si>
  <si>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</si>
  <si>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Voco Orchard Singapore an IHG hotel @ SG -- Market research 2022</t>
  </si>
  <si>
    <t>Oh my Goro @ SG -- Market research 2022</t>
  </si>
  <si>
    <t>65 8885 2052</t>
  </si>
  <si>
    <t>Guerilla coffee @ SG -- Market research 2022</t>
  </si>
  <si>
    <t>Ethan</t>
  </si>
  <si>
    <t>Chee</t>
  </si>
  <si>
    <t>Stella Seaside Lounge</t>
  </si>
  <si>
    <t>ethan@stella.com.sg</t>
  </si>
  <si>
    <t>Victor</t>
  </si>
  <si>
    <t>Victory Kitchen @ SG -- Market research 2022</t>
  </si>
  <si>
    <t>victorytbk@gmail.com</t>
  </si>
  <si>
    <t>Silvia</t>
  </si>
  <si>
    <t>Pho Van @ SG -- 1-2 Outlets -- Market research 2022</t>
  </si>
  <si>
    <t>silvialtnguyen@gmail.com</t>
  </si>
  <si>
    <t>65 9123 8920</t>
  </si>
  <si>
    <t>Stella Seaside Lounge @ SG -- Market research 2022</t>
  </si>
  <si>
    <t>Eugene</t>
  </si>
  <si>
    <t>Tin</t>
  </si>
  <si>
    <t>BBW food investments Pte Ltd korean food takeaway kiosk -- SG</t>
  </si>
  <si>
    <t>eugenetin78@gmail.com</t>
  </si>
  <si>
    <t>Cafe Football @ SG -- Market research 2022</t>
  </si>
  <si>
    <t>abby@cafe-football.sg</t>
  </si>
  <si>
    <t>Mr Ken Delight @ SG --. to . Pte Ltd</t>
  </si>
  <si>
    <t>Olivia and co @ SG --.</t>
  </si>
  <si>
    <t>65 8759 4368</t>
  </si>
  <si>
    <t>Simon</t>
  </si>
  <si>
    <t>Reyes</t>
  </si>
  <si>
    <t>Long John Silvers US/Int’l -- Indonesia -- Market research 2022</t>
  </si>
  <si>
    <t>simon.reyes@ljsilvers.com</t>
  </si>
  <si>
    <t>jacob</t>
  </si>
  <si>
    <t>foo</t>
  </si>
  <si>
    <t>autowash24 pte ltd</t>
  </si>
  <si>
    <t>chekpeng@gmail.com</t>
  </si>
  <si>
    <t>Meenakshii</t>
  </si>
  <si>
    <t>Singh</t>
  </si>
  <si>
    <t>. PTE. LTD.</t>
  </si>
  <si>
    <t>meenakshii@..com</t>
  </si>
  <si>
    <t>Sanny</t>
  </si>
  <si>
    <t>Tanty</t>
  </si>
  <si>
    <t>Red Pig Restaurant Pte Ltd</t>
  </si>
  <si>
    <t>wdbbbqmarketing@gmail.com</t>
  </si>
  <si>
    <t>Low</t>
  </si>
  <si>
    <t>Zen Exhibits International Pte Ltd</t>
  </si>
  <si>
    <t>john@zen-exhibits.com.sg</t>
  </si>
  <si>
    <t>Belinda</t>
  </si>
  <si>
    <t>Wang Dae Bak @ SG --.</t>
  </si>
  <si>
    <t>https://www.wangdaebakbbq.sg/</t>
  </si>
  <si>
    <t>9349 0882</t>
  </si>
  <si>
    <t>Red Pig Restaurant Pte Ltd KOREAN RESTAURANT @ SG -- Market research 2022</t>
  </si>
  <si>
    <t>Cafe</t>
  </si>
  <si>
    <t>8127 7145</t>
  </si>
  <si>
    <t>Kah yee</t>
  </si>
  <si>
    <t>Kia</t>
  </si>
  <si>
    <t>Bakers &amp; brewers PTE ltd @ SG -- Market research 2022</t>
  </si>
  <si>
    <t>trevorkia@bakersbrewers.com</t>
  </si>
  <si>
    <t>Melissa</t>
  </si>
  <si>
    <t>Project Acai @ SG -- . Kiosk . to . Pte Ltd</t>
  </si>
  <si>
    <t>H</t>
  </si>
  <si>
    <t>Ignite capital PTE ltd @ SG -- Market research 2022</t>
  </si>
  <si>
    <t>leetzekeat@yahoo.com.sg</t>
  </si>
  <si>
    <t>Wee Yong</t>
  </si>
  <si>
    <t>FNB DYNASTY PTE LTD</t>
  </si>
  <si>
    <t>intspec@gmail.com</t>
  </si>
  <si>
    <t>Yuting</t>
  </si>
  <si>
    <t>Wang</t>
  </si>
  <si>
    <t>Sichuan Chef PTE Ltd @ SG -- Market research 2022</t>
  </si>
  <si>
    <t>aiyongsheng@gmail.com</t>
  </si>
  <si>
    <t>Zack</t>
  </si>
  <si>
    <t>Lock</t>
  </si>
  <si>
    <t>Cantolicious @ SG -- Market research 2022</t>
  </si>
  <si>
    <t>cantolicious@gmail.com</t>
  </si>
  <si>
    <t>The Ship Restaurant @ SG -- Market research 2022</t>
  </si>
  <si>
    <t>theshipshaw@outlook.com</t>
  </si>
  <si>
    <t>65 9817 8285</t>
  </si>
  <si>
    <t>Ram</t>
  </si>
  <si>
    <t>Blake Cafe @ SG -- Market research 2022</t>
  </si>
  <si>
    <t>ramsngh176@gmail.com</t>
  </si>
  <si>
    <t>Balamrwt</t>
  </si>
  <si>
    <t>Gadtro Viet thai cuisine @ SG -- Market research 2022</t>
  </si>
  <si>
    <t>Balamrwt@yahoo.com.sg</t>
  </si>
  <si>
    <t>65 93882036</t>
  </si>
  <si>
    <t>Cheryl</t>
  </si>
  <si>
    <t>Magic wok restaurant @ SG --. to . Pte Ltd</t>
  </si>
  <si>
    <t>65 9325 3241</t>
  </si>
  <si>
    <t>Wah Kungfu @ SG -- Market research 2022</t>
  </si>
  <si>
    <t>65 97291028</t>
  </si>
  <si>
    <t>Shaun</t>
  </si>
  <si>
    <t>Savvy Capital Pte Ltd, stall will be at Temple Street. --. to . Pte Ltyd</t>
  </si>
  <si>
    <t>65 8123 8212</t>
  </si>
  <si>
    <t>Soo</t>
  </si>
  <si>
    <t>Collaboration or PartnershipxxKanzTechnology with . Pte Ltd</t>
  </si>
  <si>
    <t>jason@kanztechnology.com</t>
  </si>
  <si>
    <t>65 9386 0402</t>
  </si>
  <si>
    <t>Daddy's ON MADRAS @ SG -- Market research 2022</t>
  </si>
  <si>
    <t>65 9152 1434</t>
  </si>
  <si>
    <t>Kanztechnology</t>
  </si>
  <si>
    <t>The Winery Tapas Bar with Raptor . @ SG -- Market research 2022</t>
  </si>
  <si>
    <t>Ailing@thewinery.com.sg</t>
  </si>
  <si>
    <t>65 82623365</t>
  </si>
  <si>
    <t>Jaminechua</t>
  </si>
  <si>
    <t>Oma spoon lite . Kiosk . @ SG -- Market research 2022</t>
  </si>
  <si>
    <t>Jaminechua@hotmail.com</t>
  </si>
  <si>
    <t>65 97520081</t>
  </si>
  <si>
    <t>Shermaine</t>
  </si>
  <si>
    <t>Select @ SG -- Market research 2022</t>
  </si>
  <si>
    <t>shermaine_tan@select.com</t>
  </si>
  <si>
    <t>65 9073 8627</t>
  </si>
  <si>
    <t>I Love Taimei @ SG -- Market research 2022</t>
  </si>
  <si>
    <t>ishwarya research . ish to . Pte Ltd</t>
  </si>
  <si>
    <t>65 90738627</t>
  </si>
  <si>
    <t>Esther</t>
  </si>
  <si>
    <t>Habitat Coffee @ Lavender -- Market research 2022</t>
  </si>
  <si>
    <t>chin_esther2002@yahoo.com</t>
  </si>
  <si>
    <t>65 9797 4407</t>
  </si>
  <si>
    <t>shaoxinyi</t>
  </si>
  <si>
    <t>TAI ER Suancai &amp; Fish @ SG -- Market research 2022</t>
  </si>
  <si>
    <t>shaoxinyi@jiumaojiu.com</t>
  </si>
  <si>
    <t>86 150 1179 7874</t>
  </si>
  <si>
    <t>Jetaway Foodhub @ SG -- 1 Outlet --. to . Pte Ltd</t>
  </si>
  <si>
    <t>65 8333 8865</t>
  </si>
  <si>
    <t>limleyan</t>
  </si>
  <si>
    <t>Oberstrasse Cafe @ SG -- Market research 2022</t>
  </si>
  <si>
    <t>limleyan@hotmail.com</t>
  </si>
  <si>
    <t>Avy</t>
  </si>
  <si>
    <t>Cosmo Social Club @ SG -- Market research 2022</t>
  </si>
  <si>
    <t>Avy@cosmosocial.club</t>
  </si>
  <si>
    <t>Christina</t>
  </si>
  <si>
    <t>willock</t>
  </si>
  <si>
    <t>Ji Xiang Seafood (Singapore) @ SG -- Market research 2022</t>
  </si>
  <si>
    <t>Christina.willock@yahoo.com.sg</t>
  </si>
  <si>
    <t>65 9383 7810</t>
  </si>
  <si>
    <t>Trehaus Cafe @ SG -- Market research 2022</t>
  </si>
  <si>
    <t>glen</t>
  </si>
  <si>
    <t>Five Foot Lane (new brand) @ SG -- Market research 2022</t>
  </si>
  <si>
    <t>glen@dapurpenyet.com.sg</t>
  </si>
  <si>
    <t>65 9126 6794</t>
  </si>
  <si>
    <t>Em oiiiiiiiii - Vietnamese Restaurant Limited @ SG</t>
  </si>
  <si>
    <t>simon.ng.y.j@gmail.com</t>
  </si>
  <si>
    <t>65 9643 8379</t>
  </si>
  <si>
    <t>Tarun</t>
  </si>
  <si>
    <t>Papa Ayam @ SG -- . . to . Pte Ltd</t>
  </si>
  <si>
    <t>65 86983921/ 8497 3714</t>
  </si>
  <si>
    <t>G&amp;B Bistro -- . on Invoice</t>
  </si>
  <si>
    <t>billing@..com</t>
  </si>
  <si>
    <t>65  9827 6887</t>
  </si>
  <si>
    <t>Derek</t>
  </si>
  <si>
    <t>Takagi Ramen Pte Ltd @ SG -- ishwarya research . . to . Pte Ltd</t>
  </si>
  <si>
    <t>65 83567233</t>
  </si>
  <si>
    <t>Frucci Brand @ SG -- ishwarya research . ISH to . Pte Ltd</t>
  </si>
  <si>
    <t>zihang0316@gmail.com</t>
  </si>
  <si>
    <t>9028 1513</t>
  </si>
  <si>
    <t>Haryati's kitchen @ SG -- ishwarya research . ISH to . Pte Ltd</t>
  </si>
  <si>
    <t>65 9642 7797</t>
  </si>
  <si>
    <t xml:space="preserve">8497 3714 </t>
  </si>
  <si>
    <t>Tiane The</t>
  </si>
  <si>
    <t>Tee Tree Investments Pte Ltd @ SG -- ishwarya research email . to . Pte Ltd</t>
  </si>
  <si>
    <t>Tiane_The@teetreeinvestments.com</t>
  </si>
  <si>
    <t>Jimmy</t>
  </si>
  <si>
    <t>Chin</t>
  </si>
  <si>
    <t>Four Square</t>
  </si>
  <si>
    <t>929zhangying@gmail.com</t>
  </si>
  <si>
    <t>Good old times @ SG -- ishwarya research . . to . Pte Ltd</t>
  </si>
  <si>
    <t>info@goodoldtimes.sg</t>
  </si>
  <si>
    <t xml:space="preserve">9831 2064
</t>
  </si>
  <si>
    <t>krislynwong</t>
  </si>
  <si>
    <t>Passion for Food @ SG -- ishwarya research . Web Call . to . Pte Ltd</t>
  </si>
  <si>
    <t>krislynwong@passionforfood.com.sg</t>
  </si>
  <si>
    <t>9113 5336</t>
  </si>
  <si>
    <t>Dax</t>
  </si>
  <si>
    <t>taparan</t>
  </si>
  <si>
    <t>. Feedback Module for Mandala Club -- ishwarya research ISH to . Pte Ltd</t>
  </si>
  <si>
    <t>dax.taparan@mandala.club</t>
  </si>
  <si>
    <t>Yan‘s DIning @ SG -- ishwarya research . . to . Pte Ltd</t>
  </si>
  <si>
    <t>8815 3521</t>
  </si>
  <si>
    <t>Tony</t>
  </si>
  <si>
    <t>Food garden, Asia square @ SG --.</t>
  </si>
  <si>
    <t>9726 7285</t>
  </si>
  <si>
    <t>KC</t>
  </si>
  <si>
    <t>TWG TWG Tea @ SG -- Market research 2022</t>
  </si>
  <si>
    <t xml:space="preserve">65 9106 8413 </t>
  </si>
  <si>
    <t xml:space="preserve">Esther </t>
  </si>
  <si>
    <t>Habitat Coffee @ SG -- SG -- signed up Project</t>
  </si>
  <si>
    <t>.</t>
  </si>
  <si>
    <t>Tsutsuitaki</t>
  </si>
  <si>
    <t>LPGG Hospitality Pte. Ltd. @ SG --ishwarya</t>
  </si>
  <si>
    <t>tsutsuitaki@gmail.com</t>
  </si>
  <si>
    <t>Cray Ventures Private Limited @ SG --ishwarya</t>
  </si>
  <si>
    <t>cheryl@playmade.com</t>
  </si>
  <si>
    <t>Charissa</t>
  </si>
  <si>
    <t>Twenty GrammesCafe @ SG --ishwarya</t>
  </si>
  <si>
    <t>charissa@twentygrammes.com</t>
  </si>
  <si>
    <t>Junyi</t>
  </si>
  <si>
    <t>Gong cha Singapore@ SG -- .</t>
  </si>
  <si>
    <t>junyi@gong-cha-sg.com</t>
  </si>
  <si>
    <t>Karchiet</t>
  </si>
  <si>
    <t>loh</t>
  </si>
  <si>
    <t>V 3 Gourmet @ SG -- .</t>
  </si>
  <si>
    <t>karchiet.loh@v3gourmet.com</t>
  </si>
  <si>
    <t>Holland village food court pte ltd @ SG -- .</t>
  </si>
  <si>
    <t>hollandv33@gmail.com</t>
  </si>
  <si>
    <t>Lina</t>
  </si>
  <si>
    <t>Takagi Ramen Pte Ltd@ SG -- .</t>
  </si>
  <si>
    <t>lina@takagiramen.com</t>
  </si>
  <si>
    <t>Crazy 3 @ SG -- .</t>
  </si>
  <si>
    <t>vocanlaw@gmail.com</t>
  </si>
  <si>
    <t>Diandinhq</t>
  </si>
  <si>
    <t>Diandin Leluk Thai Restaurant@ SG -- .</t>
  </si>
  <si>
    <t>diandinhq@gmail.com</t>
  </si>
  <si>
    <t>Yan's Dining Fine Shanghai Cuisine 嬿青私房菜 @ SG -- .</t>
  </si>
  <si>
    <t>1647186985@qq.com</t>
  </si>
  <si>
    <t>pheonix cafe@ SG -- .</t>
  </si>
  <si>
    <t>greenonearth@gmail.com</t>
  </si>
  <si>
    <t>Amy</t>
  </si>
  <si>
    <t>Himawari Japanese Restaurant @ SG -- .</t>
  </si>
  <si>
    <t>amy@himawari.com</t>
  </si>
  <si>
    <t>Ali</t>
  </si>
  <si>
    <t>Hapiha food @ SG --ishwarya</t>
  </si>
  <si>
    <t>singapore</t>
  </si>
  <si>
    <t>ali@gatmosphere.com</t>
  </si>
  <si>
    <t>Vipul</t>
  </si>
  <si>
    <t>Deshmukh</t>
  </si>
  <si>
    <t>Barrels to Goblets @ SG -- .</t>
  </si>
  <si>
    <t>vipuldeshmukh@gmail.com</t>
  </si>
  <si>
    <t>Uchida</t>
  </si>
  <si>
    <t>Unatoto, Singapore -- ishwarya research . ish to . Pte Ltd</t>
  </si>
  <si>
    <t>uchida@gfc-sgp.com</t>
  </si>
  <si>
    <t>65 9459 7172</t>
  </si>
  <si>
    <t xml:space="preserve">Alexander </t>
  </si>
  <si>
    <t>Kho</t>
  </si>
  <si>
    <t>Heartland Brew Pte. Ltd.</t>
  </si>
  <si>
    <t>alex_access@hotmail.com</t>
  </si>
  <si>
    <t>8657 6848</t>
  </si>
  <si>
    <t>Deonne</t>
  </si>
  <si>
    <t>Quek</t>
  </si>
  <si>
    <t>Moonshine Pte Ltd</t>
  </si>
  <si>
    <t>deonnequek@gmail.com</t>
  </si>
  <si>
    <t>8757 6848</t>
  </si>
  <si>
    <t>Yummhy Bites @ SG --.</t>
  </si>
  <si>
    <t>65 8499 2016</t>
  </si>
  <si>
    <t>Deonnequek</t>
  </si>
  <si>
    <t>Moonshine Pte Ltd @ SG -- Market research 2022</t>
  </si>
  <si>
    <t>Jessoh</t>
  </si>
  <si>
    <t>Restz Cafe @ SG -- ishwarya research ISH to . Pte Ltd</t>
  </si>
  <si>
    <t>jesssoh@gmail.com</t>
  </si>
  <si>
    <t>poh</t>
  </si>
  <si>
    <t>The Caffeine Experience -- ishwarya research Chatbot KIOSK . to . Pte Ltd</t>
  </si>
  <si>
    <t>Syahir Syazwan</t>
  </si>
  <si>
    <t>Abdul Rahman</t>
  </si>
  <si>
    <t>Beng Hiang Restaurant @ SG -- .</t>
  </si>
  <si>
    <t>syahir.syazwan@hoteljen.com</t>
  </si>
  <si>
    <t>Hu</t>
  </si>
  <si>
    <t>Big Charlie @ SG -- Market research 2022</t>
  </si>
  <si>
    <t>sg.bigcharlie@gmail.com</t>
  </si>
  <si>
    <t>Farhan</t>
  </si>
  <si>
    <t>Samad</t>
  </si>
  <si>
    <t>Botani Pte Ltd @ SG -- Market research 2022</t>
  </si>
  <si>
    <t>farhan@botanispirits.com</t>
  </si>
  <si>
    <t>Nina</t>
  </si>
  <si>
    <t>Williams</t>
  </si>
  <si>
    <t>Johns Pizzeria &amp; Bakery @ SG -- Market research 2022</t>
  </si>
  <si>
    <t>ndevrishadze@gmail.com</t>
  </si>
  <si>
    <t>Diann</t>
  </si>
  <si>
    <t>Liberty Coffee Pte Ltd @ SG -- Market research 2022</t>
  </si>
  <si>
    <t>diann@libertycoffee.sg</t>
  </si>
  <si>
    <t>Aida</t>
  </si>
  <si>
    <t>Leopold @ SG Tanjong Pagar road -- ishwarya research . ish to . Pte Ltd</t>
  </si>
  <si>
    <t>aida@leopold.sg</t>
  </si>
  <si>
    <t>65 9789 9386</t>
  </si>
  <si>
    <t>Joe</t>
  </si>
  <si>
    <t>Woo</t>
  </si>
  <si>
    <t>Mermaid restaurant pte ltd @ SG -- Market research 2022</t>
  </si>
  <si>
    <t>Joewoo.mermaid@gmail.com</t>
  </si>
  <si>
    <t>9800 0519</t>
  </si>
  <si>
    <t>Chagee @ SG -- Market research 2022</t>
  </si>
  <si>
    <t>teehongchang@gmail.com</t>
  </si>
  <si>
    <t>65 82119600</t>
  </si>
  <si>
    <t xml:space="preserve">
April</t>
  </si>
  <si>
    <t>Mol SUMAN</t>
  </si>
  <si>
    <t>Total Group SG--Market research 2022</t>
  </si>
  <si>
    <t>april.mol@totalenergies.com</t>
  </si>
  <si>
    <t>Wan Po tea shop @ SG -- Market research 2022</t>
  </si>
  <si>
    <t>65  92323756</t>
  </si>
  <si>
    <t>Nan</t>
  </si>
  <si>
    <t>Zhang</t>
  </si>
  <si>
    <t>Cafe @ SG -- .</t>
  </si>
  <si>
    <t>zhangnanhannah@163.com</t>
  </si>
  <si>
    <t>Bar Celona @ SG -- Market research 2022</t>
  </si>
  <si>
    <t>sergey@bar.celona.sg</t>
  </si>
  <si>
    <t>Germaine</t>
  </si>
  <si>
    <t>Quality Zone Technologies . Kiosk . to . Pte Ltd</t>
  </si>
  <si>
    <t>germaine@qzonetech.com</t>
  </si>
  <si>
    <t>Enrico</t>
  </si>
  <si>
    <t>Sto Domingo</t>
  </si>
  <si>
    <t>Timbre Group @ SG -- ishwarya research . . to .</t>
  </si>
  <si>
    <t>enrico.stodomingo@timbregroup.asia</t>
  </si>
  <si>
    <t>Mr Sahbas</t>
  </si>
  <si>
    <t>A2B Indian Veg Restaurant @ SG --. to . Pte Ltd</t>
  </si>
  <si>
    <t>65 8147 7767</t>
  </si>
  <si>
    <t>Luping</t>
  </si>
  <si>
    <t>Sentosa Golf Club @ SG -- Market research 2022</t>
  </si>
  <si>
    <t>tan_lu_ping@sentosagolf.com</t>
  </si>
  <si>
    <t>Rasyidah</t>
  </si>
  <si>
    <t>Abu</t>
  </si>
  <si>
    <t>555 Halal Galore @ SG -- Market research 2022</t>
  </si>
  <si>
    <t>rasyidahabu93@gmail.com</t>
  </si>
  <si>
    <t>Stall Name: Satori -- ishwarya research . . to . Pte Ltd</t>
  </si>
  <si>
    <t>65 9382 0255</t>
  </si>
  <si>
    <t>Wheeler's Yard, Singapore -- ishwarya research . . to . Pte Ltd</t>
  </si>
  <si>
    <t>amanda@wheelersyard.com</t>
  </si>
  <si>
    <t>65 9798 7400</t>
  </si>
  <si>
    <t>Brekkie @SG -- ishwarya research . . to . Pte Ltd</t>
  </si>
  <si>
    <t>8240 0347</t>
  </si>
  <si>
    <t>Shinhuey</t>
  </si>
  <si>
    <t>lim</t>
  </si>
  <si>
    <t>Sodexo Partnership . to . Pte Ltd</t>
  </si>
  <si>
    <t>shinhuey.lim@sodexo.com</t>
  </si>
  <si>
    <t>65 91863850/90884671</t>
  </si>
  <si>
    <t>karen</t>
  </si>
  <si>
    <t>zheng</t>
  </si>
  <si>
    <t>Wonder Gelato LLP @ Singapore -- .</t>
  </si>
  <si>
    <t>hepingxingjun@hotmail.com</t>
  </si>
  <si>
    <t>Nanta bbq pte ltd @ SG -- Market research 2022</t>
  </si>
  <si>
    <t>mirae109@naver.com</t>
  </si>
  <si>
    <t>Chloe</t>
  </si>
  <si>
    <t>Siew</t>
  </si>
  <si>
    <t>Quan Ji @ SG --ishwarya</t>
  </si>
  <si>
    <t>chloesieww@gmail.com</t>
  </si>
  <si>
    <t>Eastbistro @ SG-- Epoint payment with Aignes (Dine-in &amp; e-order). -- ishwarya research . . to . Pte Ltd</t>
  </si>
  <si>
    <t>8338 7752</t>
  </si>
  <si>
    <t>Louis Choo</t>
  </si>
  <si>
    <t>HANSFORT INVESTMENT</t>
  </si>
  <si>
    <t>ops@hansfortinvest.com.sg</t>
  </si>
  <si>
    <t>Three Buns Quayside Robertson Quay @ SG -- ishwarya research . . to . Pte Ltd</t>
  </si>
  <si>
    <t>65  9027 7067</t>
  </si>
  <si>
    <t>Beansparty -- kladiators pte ltd @ SG -- ishwarya research . . to . Pte Ltd</t>
  </si>
  <si>
    <t>admin@beansparty.com</t>
  </si>
  <si>
    <t>8223 9390</t>
  </si>
  <si>
    <t>Gideon</t>
  </si>
  <si>
    <t>Charis Cuisines @SG -- .</t>
  </si>
  <si>
    <t>gidtan86@gmail.com</t>
  </si>
  <si>
    <t xml:space="preserve">First Name </t>
  </si>
  <si>
    <t xml:space="preserve">Last Name </t>
  </si>
  <si>
    <t xml:space="preserve">Source of Lead </t>
  </si>
  <si>
    <t>MWZ</t>
  </si>
  <si>
    <t>Ishwarya .</t>
  </si>
  <si>
    <t>MWZ Catering Pte Ltd @ SG</t>
  </si>
  <si>
    <t xml:space="preserve">Singapore </t>
  </si>
  <si>
    <t>mwz.catering@gmail.com</t>
  </si>
  <si>
    <t xml:space="preserve">NA </t>
  </si>
  <si>
    <t xml:space="preserve">Clinton street baking @ SG </t>
  </si>
  <si>
    <t>Burpple @ SG</t>
  </si>
  <si>
    <t>prakash@burpple.com</t>
  </si>
  <si>
    <t>Valerie</t>
  </si>
  <si>
    <t>Stick with it @ SG</t>
  </si>
  <si>
    <t>emailvalerieliau@gmail.com</t>
  </si>
  <si>
    <t>8339 3648</t>
  </si>
  <si>
    <t>GS Restaurant Pte Ltd @ SG</t>
  </si>
  <si>
    <t>rogersoh@sukigroup.com.sg</t>
  </si>
  <si>
    <t>-</t>
  </si>
  <si>
    <t xml:space="preserve">Curry Nations </t>
  </si>
  <si>
    <t xml:space="preserve">Yalopatisserie </t>
  </si>
  <si>
    <t xml:space="preserve">yalopatisseriecafe@gmail.com
</t>
  </si>
  <si>
    <t xml:space="preserve">Pebble Pub </t>
  </si>
  <si>
    <t>Bollywood Spice @ SG</t>
  </si>
  <si>
    <t>arunpaul.sg@gmail.com</t>
  </si>
  <si>
    <t xml:space="preserve">The Snack Comer </t>
  </si>
  <si>
    <t>kenny@tsk.com.sg</t>
  </si>
  <si>
    <t xml:space="preserve">Standalone Hotpot </t>
  </si>
  <si>
    <t>Hawkster Concepts LLP</t>
  </si>
  <si>
    <t>anoodlestory@hotmail.com</t>
  </si>
  <si>
    <t>9027 6289</t>
  </si>
  <si>
    <t xml:space="preserve">Brennack </t>
  </si>
  <si>
    <t>zack@brennack.com</t>
  </si>
  <si>
    <t xml:space="preserve">Ausdauer und Ehrlichkeit </t>
  </si>
  <si>
    <t>lohks001@yahoo.com</t>
  </si>
  <si>
    <t>Bollywood Veggies</t>
  </si>
  <si>
    <t>gwen@bollywoodveggies.com</t>
  </si>
  <si>
    <t xml:space="preserve">Ice Yodo </t>
  </si>
  <si>
    <t>cwsparklej@gmail.com</t>
  </si>
  <si>
    <t xml:space="preserve">64 22 103 0849. </t>
  </si>
  <si>
    <t xml:space="preserve">Furama </t>
  </si>
  <si>
    <t>6739 6417</t>
  </si>
  <si>
    <t xml:space="preserve">Na </t>
  </si>
  <si>
    <t xml:space="preserve">The Elephant Room </t>
  </si>
  <si>
    <t>accounts@theelephantroom.sg</t>
  </si>
  <si>
    <t>Adam</t>
  </si>
  <si>
    <t>Queen of Fork</t>
  </si>
  <si>
    <t xml:space="preserve">Pasarbella @ Suntec </t>
  </si>
  <si>
    <t>Tittle Tattle @ SG</t>
  </si>
  <si>
    <t>Mepham</t>
  </si>
  <si>
    <t xml:space="preserve">Green Kitchen </t>
  </si>
  <si>
    <t>maxamilian@greenkitchen.co</t>
  </si>
  <si>
    <t>Black Pig Coffee Shop @ SG-</t>
  </si>
  <si>
    <t>steph.peh@gmail.com</t>
  </si>
  <si>
    <t>Erwin's Gastrobar</t>
  </si>
  <si>
    <t>clawrence@ponte-group.com</t>
  </si>
  <si>
    <t>The Singapore Island Country Club (Bukit Location)</t>
  </si>
  <si>
    <t>zat@sicc.org.sg</t>
  </si>
  <si>
    <t xml:space="preserve">FT GROUP </t>
  </si>
  <si>
    <t>kelvintanweimin@gmail.com</t>
  </si>
  <si>
    <t>65 8870 9490</t>
  </si>
  <si>
    <t xml:space="preserve">Tianwei signature </t>
  </si>
  <si>
    <t>leong6623@yahoo.com</t>
  </si>
  <si>
    <t>91861626 / 0167404968</t>
  </si>
  <si>
    <t>Yuan Wei Quan vegetarian Pte ltd</t>
  </si>
  <si>
    <t>botanictsg@gmail.com</t>
  </si>
  <si>
    <t xml:space="preserve">Cheval Group </t>
  </si>
  <si>
    <t>jel.inc@hotmail.com</t>
  </si>
  <si>
    <t xml:space="preserve">Pearl Hill Cafe </t>
  </si>
  <si>
    <t>mauricegoh@gmail.com</t>
  </si>
  <si>
    <t>Shizo japanese restaurant</t>
  </si>
  <si>
    <t>amandalim89@gmail.com</t>
  </si>
  <si>
    <t>Fernandez</t>
  </si>
  <si>
    <t xml:space="preserve">The coffee academics </t>
  </si>
  <si>
    <t xml:space="preserve">shayne.fernandez@the-coffeeacademics.com
</t>
  </si>
  <si>
    <t>Sehoo</t>
  </si>
  <si>
    <t xml:space="preserve">39 Ants </t>
  </si>
  <si>
    <t xml:space="preserve">patrick.sehoo@39ants.com
</t>
  </si>
  <si>
    <t xml:space="preserve">Vegan Burg </t>
  </si>
  <si>
    <t>joseph@veganburg.com</t>
  </si>
  <si>
    <t>Bara</t>
  </si>
  <si>
    <t xml:space="preserve">Shinzo </t>
  </si>
  <si>
    <t xml:space="preserve">with +1 650 450 7396 Shinzo Restaurant </t>
  </si>
  <si>
    <t>Ahmad</t>
  </si>
  <si>
    <t>Kloudwork Pte ltd @ SG</t>
  </si>
  <si>
    <t xml:space="preserve">Email:
dzul.ahmad@kloudwork.sg
</t>
  </si>
  <si>
    <t xml:space="preserve">Spice Bedok </t>
  </si>
  <si>
    <t>marisabnani@me.com</t>
  </si>
  <si>
    <t>Afiq</t>
  </si>
  <si>
    <t>The Black Hole Group @ SG</t>
  </si>
  <si>
    <t>afiq@theblackhole.sg</t>
  </si>
  <si>
    <t>LKO F&amp;B Concepts @ SG</t>
  </si>
  <si>
    <t>lamberteats@gmail.com</t>
  </si>
  <si>
    <t xml:space="preserve">Tribe D3 Lounge </t>
  </si>
  <si>
    <t>9642 7568</t>
  </si>
  <si>
    <t xml:space="preserve">ABR Holdings </t>
  </si>
  <si>
    <t>deongoh@abr.com.sg</t>
  </si>
  <si>
    <t xml:space="preserve">Spize </t>
  </si>
  <si>
    <t>anil@spize.com.sg</t>
  </si>
  <si>
    <t>Lao</t>
  </si>
  <si>
    <t xml:space="preserve">The Backyard Bakers </t>
  </si>
  <si>
    <t>Xavier</t>
  </si>
  <si>
    <t xml:space="preserve">SF Group </t>
  </si>
  <si>
    <t>xavier.boey@sfgroup.sg</t>
  </si>
  <si>
    <t xml:space="preserve">New Fut Kai Vegetarian Restaurant </t>
  </si>
  <si>
    <t>admin@newfutkai.com.sg</t>
  </si>
  <si>
    <t>Griddler &amp; Grinder</t>
  </si>
  <si>
    <t>Cafe AI @ Singapore-</t>
  </si>
  <si>
    <t>dennis@cafeai.Sg</t>
  </si>
  <si>
    <t>F&amp;B CAFE (NAME NOT REVEALED)</t>
  </si>
  <si>
    <t>mj.voong@gmail.com</t>
  </si>
  <si>
    <t>Fillers</t>
  </si>
  <si>
    <t>Tak Kesah Restaurant @ SG</t>
  </si>
  <si>
    <t xml:space="preserve">60 17 251 2122 (via .) </t>
  </si>
  <si>
    <t xml:space="preserve">Hawker Store </t>
  </si>
  <si>
    <t>rojakline@gmail.com</t>
  </si>
  <si>
    <t>DUFF</t>
  </si>
  <si>
    <t>jduff795@gmail.com</t>
  </si>
  <si>
    <t xml:space="preserve">Co chung pte ltd </t>
  </si>
  <si>
    <t>tuancongdinh@hotmail.com</t>
  </si>
  <si>
    <t>Incoming email . to SG @ Malaysia</t>
  </si>
  <si>
    <t>ryoheikozuma@gmail.com</t>
  </si>
  <si>
    <t xml:space="preserve">FAT DADDY FAT MUMMY </t>
  </si>
  <si>
    <t>fion@fattydaddyfattymummy.com</t>
  </si>
  <si>
    <t>YLS Group @ SG</t>
  </si>
  <si>
    <t>aqram@gloobaloo.org</t>
  </si>
  <si>
    <t xml:space="preserve">Xcelyn </t>
  </si>
  <si>
    <t>xcel.yeow@gmail.com</t>
  </si>
  <si>
    <t>Tavern @ SG</t>
  </si>
  <si>
    <t>Allinall @ SG</t>
  </si>
  <si>
    <t>sonia@allinall5l2f.com</t>
  </si>
  <si>
    <t>Briyani Central @ SG</t>
  </si>
  <si>
    <t xml:space="preserve">60 17 251 2122 </t>
  </si>
  <si>
    <t>Charizz</t>
  </si>
  <si>
    <t>Rise and Grind Coffee Co @ SG</t>
  </si>
  <si>
    <t>charizz@digitalm.sg</t>
  </si>
  <si>
    <t>Desiree</t>
  </si>
  <si>
    <t>Boat Noodle Express @ Singapore</t>
  </si>
  <si>
    <t>desireegoh1@gmail.com</t>
  </si>
  <si>
    <t>Maison Ikkoku Restaurant @ SG</t>
  </si>
  <si>
    <t>info@ethanleslieleong.com</t>
  </si>
  <si>
    <t>Rangooli Restaurant @ SG</t>
  </si>
  <si>
    <t>ravi@rangoolirestaurant.com</t>
  </si>
  <si>
    <t>Ahimsa Cafe @ SG</t>
  </si>
  <si>
    <t>ayshwariyashri@gmail.com</t>
  </si>
  <si>
    <t>Goodluck Singapore pte ltd @ SG</t>
  </si>
  <si>
    <t>goodluck3646@gmail.com</t>
  </si>
  <si>
    <t>Tandoori Bites @ SG</t>
  </si>
  <si>
    <t>NEW ZEALAND NATURAL ICE CREAMS @ SG</t>
  </si>
  <si>
    <t>stephen@nzn.com.sg</t>
  </si>
  <si>
    <t>EBI BAR @ SG</t>
  </si>
  <si>
    <t xml:space="preserve">jeannie.lim@ebibar.com.sg
</t>
  </si>
  <si>
    <t>Alladin's New Restaurant @ SG</t>
  </si>
  <si>
    <t>Sha Mei Pte Ltd_66 Mala Luck Luck &amp; 66 Mala Mookata @ SG</t>
  </si>
  <si>
    <t>tweetychong83@gmail.com</t>
  </si>
  <si>
    <t>Yakiniku Hokkiado @ Singapore</t>
  </si>
  <si>
    <t>yakinikuhokkiadosingapore@gmail.com</t>
  </si>
  <si>
    <t>9786 3540</t>
  </si>
  <si>
    <t>Pity Party Pasta by Meat &amp; Greet Collective @ SG</t>
  </si>
  <si>
    <t>kieran.ramchandra@gmail.com</t>
  </si>
  <si>
    <t xml:space="preserve">Standalone Cafe </t>
  </si>
  <si>
    <t>TSM Cafe @ Singapore</t>
  </si>
  <si>
    <t>albertlee2501@gmail.com</t>
  </si>
  <si>
    <t>65 82440099</t>
  </si>
  <si>
    <t>Lucky Cuisine @ SG</t>
  </si>
  <si>
    <t>royng@gaincity.com</t>
  </si>
  <si>
    <t>Chirashi AI Cafe @ SG</t>
  </si>
  <si>
    <t>Cherri</t>
  </si>
  <si>
    <t>Steeped Tea Bar @ SG</t>
  </si>
  <si>
    <t xml:space="preserve">8111 9868 </t>
  </si>
  <si>
    <t xml:space="preserve"> ONE15 Marina @ SG</t>
  </si>
  <si>
    <t>desmond.goh@one15marina.com</t>
  </si>
  <si>
    <t xml:space="preserve">6305 6988 </t>
  </si>
  <si>
    <t>SK</t>
  </si>
  <si>
    <t>Hawker Store Rojak Line  @ SG</t>
  </si>
  <si>
    <t>Alisa</t>
  </si>
  <si>
    <t>Vegan Burg @ SG--</t>
  </si>
  <si>
    <t xml:space="preserve">alisa@veganburg.com </t>
  </si>
  <si>
    <t>Shi Hui Yuan @ SG</t>
  </si>
  <si>
    <t>daniel_lim@shihuiyuan.sg</t>
  </si>
  <si>
    <t>Putien @ SG</t>
  </si>
  <si>
    <t>hsingchiao.huang@putien.com</t>
  </si>
  <si>
    <t>65 98455881</t>
  </si>
  <si>
    <t>Ola Beach Club 1 Outlet @ Singapore</t>
  </si>
  <si>
    <t>yuansong@olabeachclub.com</t>
  </si>
  <si>
    <t>1 PM GROUP_One Pot Meal_Non Chain</t>
  </si>
  <si>
    <t xml:space="preserve">kieranfoowx@gmail.com
</t>
  </si>
  <si>
    <t>Tiara Waterfront_1 Outlet @ SG</t>
  </si>
  <si>
    <t>Saida</t>
  </si>
  <si>
    <t xml:space="preserve">New customer </t>
  </si>
  <si>
    <t>saida.chakri@gmail.com</t>
  </si>
  <si>
    <t>Nude Foods Pte Ltd @ SG</t>
  </si>
  <si>
    <t>in@getnudefoods.com</t>
  </si>
  <si>
    <t>Incoming Call ._Local SG 5 Outlets</t>
  </si>
  <si>
    <t xml:space="preserve">65 92266495 </t>
  </si>
  <si>
    <t>Incoming Call . to SG</t>
  </si>
  <si>
    <t>Suntoyo-ISH_Easily manage Grab Food,</t>
  </si>
  <si>
    <t xml:space="preserve">6553 3855 </t>
  </si>
  <si>
    <t>Bare Foot Dining Lagnaa @ SG</t>
  </si>
  <si>
    <t>barefootdining@lagnaa.com</t>
  </si>
  <si>
    <t>The Providore Singapore Pte Ltd @ SG-</t>
  </si>
  <si>
    <t>techadmin@theprovidore.com</t>
  </si>
  <si>
    <t>SG to SG @ Singapore</t>
  </si>
  <si>
    <t>andysoh.ds@gmail.com</t>
  </si>
  <si>
    <t>LICKERS , Hougang and Telok Blangah @ SG</t>
  </si>
  <si>
    <t xml:space="preserve">Call </t>
  </si>
  <si>
    <t xml:space="preserve">65 90995265 </t>
  </si>
  <si>
    <t>Le Xuan Hong Kong Dim Sum @ SG</t>
  </si>
  <si>
    <t>lexuantimsum@gmail.com</t>
  </si>
  <si>
    <t>PANA KATO_1 outlet @ SG</t>
  </si>
  <si>
    <t>Peddi</t>
  </si>
  <si>
    <t xml:space="preserve">Aster </t>
  </si>
  <si>
    <t>akurati.peddi@gmail.com</t>
  </si>
  <si>
    <t>Take-Out Salad</t>
  </si>
  <si>
    <t>alasteir.g@gmail.com</t>
  </si>
  <si>
    <t xml:space="preserve">Bountie </t>
  </si>
  <si>
    <t>lex@bountie.io</t>
  </si>
  <si>
    <t xml:space="preserve">Incoming ish to SG @ SG
</t>
  </si>
  <si>
    <t>The Better Craft @ SG</t>
  </si>
  <si>
    <t>meijia@bettercraft.com.sg</t>
  </si>
  <si>
    <t>Tze Char Eatery @ SG</t>
  </si>
  <si>
    <t xml:space="preserve">	sspgeraldine@gmail.com</t>
  </si>
  <si>
    <t>9836 5926</t>
  </si>
  <si>
    <t>Dosirak / Chillax Seafood .in Group</t>
  </si>
  <si>
    <t xml:space="preserve">eric@.in.sg
</t>
  </si>
  <si>
    <t>NG</t>
  </si>
  <si>
    <t>3 A Coffee House</t>
  </si>
  <si>
    <t xml:space="preserve">
3acoffeehouse@gmail.com</t>
  </si>
  <si>
    <t xml:space="preserve">Jiayo @ Sengkang </t>
  </si>
  <si>
    <t>QWA Food and Beverage Pte Ltd @ SG-</t>
  </si>
  <si>
    <t xml:space="preserve">qwa02@hotmail.com
</t>
  </si>
  <si>
    <t>Nature 2000 Pte Ltd_QSR_</t>
  </si>
  <si>
    <t xml:space="preserve">
jytan@nature2000.com.sg</t>
  </si>
  <si>
    <t>Ichi Tei Japanese Dining @ SG</t>
  </si>
  <si>
    <t xml:space="preserve">
ichitei@hotmail.com</t>
  </si>
  <si>
    <t xml:space="preserve">The Corner House
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</si>
  <si>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</si>
  <si>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</si>
  <si>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</si>
  <si>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</si>
  <si>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</si>
  <si>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 xml:space="preserve">	pepperspice100am@gmail.com</t>
  </si>
  <si>
    <t>Flour Power Bakery_1 Outlet @ SG</t>
  </si>
  <si>
    <t xml:space="preserve">keat@flourpower.sg
</t>
  </si>
  <si>
    <t>Brenrich Pte Ltd @ SG</t>
  </si>
  <si>
    <t xml:space="preserve">shakeyssingapore@gmail.com
</t>
  </si>
  <si>
    <t xml:space="preserve">Best Hawa Restaurant @ SG--Onan Road -- Incoming ish to SG
</t>
  </si>
  <si>
    <t>JY</t>
  </si>
  <si>
    <t>Encik Enam @ SG</t>
  </si>
  <si>
    <t xml:space="preserve">
encikenam6@gmail.com</t>
  </si>
  <si>
    <t>DP Food Services @ SG</t>
  </si>
  <si>
    <t xml:space="preserve">dodokoh2013@gmail.com
</t>
  </si>
  <si>
    <t xml:space="preserve">9068 8771
</t>
  </si>
  <si>
    <t>SG EATS @ SG-</t>
  </si>
  <si>
    <t>Jose</t>
  </si>
  <si>
    <t>Wonder Juice Bar @ Aperia &amp; Novena 2 Outlets</t>
  </si>
  <si>
    <t>Treehole Coffee @ SG</t>
  </si>
  <si>
    <t xml:space="preserve">vernonzengzh@gmail.com
</t>
  </si>
  <si>
    <t>The Hey Co @ SG--3 Brands_Makisan, 8 Korean BBQ, Wildfire Chciken</t>
  </si>
  <si>
    <t xml:space="preserve">shaun@theheyco.com
</t>
  </si>
  <si>
    <t>Michelle</t>
  </si>
  <si>
    <t>My Place restaurant @ SG</t>
  </si>
  <si>
    <t xml:space="preserve">michelle9532@gmail.com
</t>
  </si>
  <si>
    <t>Kopi Ventures Pte Ltd @ SG</t>
  </si>
  <si>
    <t xml:space="preserve">kevin@kopiventures.com
</t>
  </si>
  <si>
    <t>Bar @ SG--(On Lease)</t>
  </si>
  <si>
    <t>Lin</t>
  </si>
  <si>
    <t>Lily Hanoi Kitchen Pte Ltd @ SG</t>
  </si>
  <si>
    <t xml:space="preserve">
downbythesally@gmail.com</t>
  </si>
  <si>
    <t>Basasak Chicken @ Upper Serangoon Road SG</t>
  </si>
  <si>
    <t>Kult Cafe @ SG</t>
  </si>
  <si>
    <t xml:space="preserve">Cha Nung_2 Outlets_Non chain -- Incoming ish to SG
</t>
  </si>
  <si>
    <t>65 9712 7955</t>
  </si>
  <si>
    <t>Vibez Bistro @ SG</t>
  </si>
  <si>
    <t>chyeling@gmail.com</t>
  </si>
  <si>
    <t>Crystal Jade Chain Pte Ltd @ SG</t>
  </si>
  <si>
    <t xml:space="preserve">christopher.toh@crystaljade.com
</t>
  </si>
  <si>
    <t>Koshae</t>
  </si>
  <si>
    <t>Full Service Restaurant 3-9 Outlets @ SG</t>
  </si>
  <si>
    <t xml:space="preserve">tankoshae@gmail.com
</t>
  </si>
  <si>
    <t>Rinting Berjaya Eating House @ Sg</t>
  </si>
  <si>
    <t>Goodwood holding Pte Ltd_1to2 Outlets</t>
  </si>
  <si>
    <t xml:space="preserve">shawnthamwk@gmail.com
</t>
  </si>
  <si>
    <t xml:space="preserve">Tplus F&amp;B
</t>
  </si>
  <si>
    <t>sp.kulive.com@hotmail.com</t>
  </si>
  <si>
    <t>Picotin_2 Outlets @ SG</t>
  </si>
  <si>
    <t xml:space="preserve">admin@picotin.sg
</t>
  </si>
  <si>
    <t>JWB Food Pte Ltd_Non Chain</t>
  </si>
  <si>
    <t xml:space="preserve">jericgoh94@gmail.com
</t>
  </si>
  <si>
    <t>Arashi Group @ SG-- &gt;10 Outlets</t>
  </si>
  <si>
    <t xml:space="preserve">
kristentxy@gmail.com</t>
  </si>
  <si>
    <t>Manna Pot @ SG</t>
  </si>
  <si>
    <t xml:space="preserve">
john_thang@mannapot.com.sg</t>
  </si>
  <si>
    <t>Liang</t>
  </si>
  <si>
    <t>Hiryu @ SG</t>
  </si>
  <si>
    <t xml:space="preserve">liangneo88@gmail.com
</t>
  </si>
  <si>
    <t>TAMAN JURONG FOOD CORNER @ SG-</t>
  </si>
  <si>
    <t>suplinks@gmail.com</t>
  </si>
  <si>
    <t>Kei Kaisendon @ SG</t>
  </si>
  <si>
    <t xml:space="preserve">eightnick@hotmail.com
</t>
  </si>
  <si>
    <t>Louis</t>
  </si>
  <si>
    <t>FSR</t>
  </si>
  <si>
    <t xml:space="preserve">itsmepeng@gmail.com
</t>
  </si>
  <si>
    <t>White Tiffin @ CBP</t>
  </si>
  <si>
    <t>65 98194211 or +65 664815114</t>
  </si>
  <si>
    <t>Millennium Hotels and Resorts @ SG</t>
  </si>
  <si>
    <t xml:space="preserve">shwuyun.lee@millenniumhotels.com
</t>
  </si>
  <si>
    <t>Be Frank @ SG</t>
  </si>
  <si>
    <t xml:space="preserve">Soy Aroy </t>
  </si>
  <si>
    <t xml:space="preserve">
.@soiaroy.com</t>
  </si>
  <si>
    <t xml:space="preserve">
Dylan</t>
  </si>
  <si>
    <t xml:space="preserve">Drool Ice Cream </t>
  </si>
  <si>
    <t xml:space="preserve">
dylantan181291@gmail.com</t>
  </si>
  <si>
    <t>Tiang Xiang Wang Tian Xiang Wang &amp; Central Kitchen outlet.</t>
  </si>
  <si>
    <t>8930 9938</t>
  </si>
  <si>
    <t xml:space="preserve">
Charissa</t>
  </si>
  <si>
    <t>Frontier Restaurant @ SG</t>
  </si>
  <si>
    <t xml:space="preserve">
charissa.leung667@gmail.com</t>
  </si>
  <si>
    <t>Pen &amp; Inc_5 Outlets @ SG</t>
  </si>
  <si>
    <t xml:space="preserve">
James</t>
  </si>
  <si>
    <t xml:space="preserve">
Chua</t>
  </si>
  <si>
    <t>HD Foods Holdings @ SG</t>
  </si>
  <si>
    <t xml:space="preserve">
dr.ginseng.sg@gmail.com</t>
  </si>
  <si>
    <t xml:space="preserve">NESTLE SG </t>
  </si>
  <si>
    <t>eugene.tan@sg.nestle.com</t>
  </si>
  <si>
    <t>Foodzaps @ SG-</t>
  </si>
  <si>
    <t>Haidzer</t>
  </si>
  <si>
    <t>The Ritz-Carlton, Millenia Singapore</t>
  </si>
  <si>
    <t>alfian.haidzer@ritzcarlton.com</t>
  </si>
  <si>
    <t>Avo Coffee in Asia Square @ SG-</t>
  </si>
  <si>
    <t xml:space="preserve">
avocoffeesg@gmail.com</t>
  </si>
  <si>
    <t>QR Code Ordering System . to SG</t>
  </si>
  <si>
    <t>junyaueda1108@gmail.com</t>
  </si>
  <si>
    <t xml:space="preserve">
Wistie Park</t>
  </si>
  <si>
    <t xml:space="preserve">Seoul HaeMeokGi </t>
  </si>
  <si>
    <t xml:space="preserve">seoul.haemeokgi@gmail.com
</t>
  </si>
  <si>
    <t xml:space="preserve">Devils Kitchen 2 Outlets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</si>
  <si>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</si>
  <si>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</si>
  <si>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</si>
  <si>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</si>
  <si>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</si>
  <si>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Jolyn</t>
  </si>
  <si>
    <t>Saveur Group Pte Ltd @ SG</t>
  </si>
  <si>
    <t xml:space="preserve">
jolyn@saveur.sg</t>
  </si>
  <si>
    <t xml:space="preserve">Urban Craft Restaurant </t>
  </si>
  <si>
    <t xml:space="preserve">office@urbancraft.group
</t>
  </si>
  <si>
    <t xml:space="preserve">Spize Pte Ltd 1 to 2 Outlets </t>
  </si>
  <si>
    <t xml:space="preserve">	haresh@spize.com.sg</t>
  </si>
  <si>
    <t>Boomarang Bistro &amp; Bar Pte Ltd @ SG</t>
  </si>
  <si>
    <t xml:space="preserve">
sheena@boomarang.com.sg</t>
  </si>
  <si>
    <t>Nee</t>
  </si>
  <si>
    <t>Knuckles Bistro Pte Ltd @ SG</t>
  </si>
  <si>
    <t xml:space="preserve">
knucklesbistro@gmail.com</t>
  </si>
  <si>
    <t>Shinko Import &amp; Export Pte Ltd @ SG</t>
  </si>
  <si>
    <t xml:space="preserve">
hocksoon8@gmail.com</t>
  </si>
  <si>
    <t xml:space="preserve">Fairprice Group_Kopitiam Outlets @ Hospitals </t>
  </si>
  <si>
    <t xml:space="preserve">leandro_gerhardinger@fairpricegroup.sg
</t>
  </si>
  <si>
    <t>Restaurant @ Oxley Tower SG</t>
  </si>
  <si>
    <t>Premier Grills @ SG</t>
  </si>
  <si>
    <t>65 81287762</t>
  </si>
  <si>
    <t>Mum's Kitchen Catering Pte Ltd</t>
  </si>
  <si>
    <t>JIU Zhuang Restaurant @ SG</t>
  </si>
  <si>
    <t>miin@gan-bei.co</t>
  </si>
  <si>
    <t>Frog Meat Fish Head @ Mosque Street SG</t>
  </si>
  <si>
    <t>weng_jin_peng@outlook.com</t>
  </si>
  <si>
    <t>Bakes n Bites @  Old Airport Road_SG</t>
  </si>
  <si>
    <t>sales@bakesnbites.sg</t>
  </si>
  <si>
    <t>Dubai Shawarma @ SG</t>
  </si>
  <si>
    <t>The Sucre People PTE Ltd Non Chain @ SG</t>
  </si>
  <si>
    <t>enquiries@madaboutsucre.com</t>
  </si>
  <si>
    <t>Big Charlie @ SG</t>
  </si>
  <si>
    <t>Enak Enak simply Delightful @ Yishun &amp; ECP</t>
  </si>
  <si>
    <t>Jinhui</t>
  </si>
  <si>
    <t>Kok</t>
  </si>
  <si>
    <t>7 Inch Square Pizza Pte Ltd @ SG--</t>
  </si>
  <si>
    <t>kokjinhui89@gmail.com</t>
  </si>
  <si>
    <t>Imperial Treasure @ SG</t>
  </si>
  <si>
    <t>ycng@naviscapital.com</t>
  </si>
  <si>
    <t>SPRG_Singapore--Non Chain--</t>
  </si>
  <si>
    <t>videl.ng@sprg.com.sg</t>
  </si>
  <si>
    <t xml:space="preserve">Meat 4 Meat </t>
  </si>
  <si>
    <t>jenyeem4m@gmail.com</t>
  </si>
  <si>
    <t xml:space="preserve">Haidilao Hotpot (more than 11 outlets) </t>
  </si>
  <si>
    <t>195 Pearl Hill Cafe_2 Outlets</t>
  </si>
  <si>
    <t>Ayasofya Turkish Restaurant @ SG</t>
  </si>
  <si>
    <t>Aloha Avenue_1 Outlet_@ SG</t>
  </si>
  <si>
    <t>ochappymomopi@gmail.com</t>
  </si>
  <si>
    <t>Wheat Baumkuchen_5 Outlets</t>
  </si>
  <si>
    <t>strictlybros@gmail.com</t>
  </si>
  <si>
    <t>Yik</t>
  </si>
  <si>
    <t>Manga Cafe</t>
  </si>
  <si>
    <t>yikswf@gmail.com</t>
  </si>
  <si>
    <t>Hian</t>
  </si>
  <si>
    <t xml:space="preserve">The Kaizenians Pte Ltd_Non Chain </t>
  </si>
  <si>
    <t>thekaizenians@gmail.com</t>
  </si>
  <si>
    <t>Jallorina</t>
  </si>
  <si>
    <t>Octapas Spanish Bar and Restaurant @ SG</t>
  </si>
  <si>
    <t>joy@octapasasia.com</t>
  </si>
  <si>
    <t>Megumi Japanese Restaurant @ SG</t>
  </si>
  <si>
    <t>Shake Shake Lok Lok_Non Chain @ SG</t>
  </si>
  <si>
    <t>shannon.yeo41@live.com</t>
  </si>
  <si>
    <t xml:space="preserve">Collective Pte Ltd </t>
  </si>
  <si>
    <t>The Green Bar @ SG-</t>
  </si>
  <si>
    <t>carynlim24@gmail.com</t>
  </si>
  <si>
    <t>Exalt Pte Ltd_1 Outlet</t>
  </si>
  <si>
    <t>Wang Wang Enterprise LLP_Snack Bar Baba Tea</t>
  </si>
  <si>
    <t>jason@teagif.com</t>
  </si>
  <si>
    <t>Dessert Monster</t>
  </si>
  <si>
    <t>sales@dessertmonstersg.com</t>
  </si>
  <si>
    <t>Fooyo @ SG</t>
  </si>
  <si>
    <t>shao@fooyo.sg</t>
  </si>
  <si>
    <t>Fotia Pte ltd_</t>
  </si>
  <si>
    <t>NNA</t>
  </si>
  <si>
    <t>Eastern House of Seafood @ SG</t>
  </si>
  <si>
    <t>easternhouseofseafood@gmail.com</t>
  </si>
  <si>
    <t xml:space="preserve">Rasa Istimewa Restaurant @ Safra Jurong_4 Outlets </t>
  </si>
  <si>
    <t>rasaistimewajurong@gmail.com</t>
  </si>
  <si>
    <t>Sumo Salad @ SG</t>
  </si>
  <si>
    <t>sumosalad.sg@gmail.com</t>
  </si>
  <si>
    <t>Napolean @ SG</t>
  </si>
  <si>
    <t xml:space="preserve">jc@napoleon.sg </t>
  </si>
  <si>
    <t>9382 2404</t>
  </si>
  <si>
    <t>Jun Liang</t>
  </si>
  <si>
    <t>Face Ban Mian Chain Group @ SG</t>
  </si>
  <si>
    <t>junliang.foodface@gmail.com</t>
  </si>
  <si>
    <t>Thomas</t>
  </si>
  <si>
    <t>RNA Foods @ SG</t>
  </si>
  <si>
    <t>ray.thomas@rainshine.co</t>
  </si>
  <si>
    <t>G5 F &amp; B PTE LTD @ SG</t>
  </si>
  <si>
    <t>Udders Ice Cream @ SG</t>
  </si>
  <si>
    <t>weili@udders.com.sg</t>
  </si>
  <si>
    <t>Insurgence Pte Ltd 3 Outlets @ SG</t>
  </si>
  <si>
    <t>amanda@insurgence.sg</t>
  </si>
  <si>
    <t>65 98414 799</t>
  </si>
  <si>
    <t>Extremers Adventure Pte Ltd</t>
  </si>
  <si>
    <t xml:space="preserve">simon@georges.com.sg
</t>
  </si>
  <si>
    <t>BIG O GROUP @ SG</t>
  </si>
  <si>
    <t>contact@bigogroup.com</t>
  </si>
  <si>
    <t>I am Cafe_Non Chain @ SG</t>
  </si>
  <si>
    <t>jamignite@iam.com.sg</t>
  </si>
  <si>
    <t>Brindas @ SG</t>
  </si>
  <si>
    <t>info@brindas.com.sg</t>
  </si>
  <si>
    <t>Taukada Nojo  @ SG</t>
  </si>
  <si>
    <t>Jennifer</t>
  </si>
  <si>
    <t>Yee</t>
  </si>
  <si>
    <t>Meat 4 Meat @ ECP</t>
  </si>
  <si>
    <t>Aaron</t>
  </si>
  <si>
    <t>The Frosted Chick</t>
  </si>
  <si>
    <t>supplies@thefrostedchick.com.sg</t>
  </si>
  <si>
    <t>The Social Space Cafe @ Kreta Ayer Rd SG</t>
  </si>
  <si>
    <t>cheryl@thesocialspace.co</t>
  </si>
  <si>
    <t>The 8 Bar Pte Group Ltd @</t>
  </si>
  <si>
    <t>siowkiat.khoo@8ightbar.com</t>
  </si>
  <si>
    <t xml:space="preserve">6298 0454   </t>
  </si>
  <si>
    <t>Taukada Nojo @ SG--4 Outlets</t>
  </si>
  <si>
    <t>samantha@ISH.com</t>
  </si>
  <si>
    <t>Chalong Pte Ltd @ SG</t>
  </si>
  <si>
    <t>chalongpteltd@gmail.com</t>
  </si>
  <si>
    <t>886 Pte Ltd @ SG</t>
  </si>
  <si>
    <t xml:space="preserve">Fun Toast Group--20 Outlets </t>
  </si>
  <si>
    <t xml:space="preserve">http://www.funtoast.com.sg/ </t>
  </si>
  <si>
    <t>PeraMakan Ventures Pte Ltd</t>
  </si>
  <si>
    <t>richard@peramakan.com</t>
  </si>
  <si>
    <t>8399 8742</t>
  </si>
  <si>
    <t xml:space="preserve">Red Wine Club @ Syed Alwi Road </t>
  </si>
  <si>
    <t>Gokul Vegetarian Indian Restaurant @ Singapore</t>
  </si>
  <si>
    <t>gokulrestaurant@yahoo.com.sg</t>
  </si>
  <si>
    <t>Togather Group pte. ltd. @ SG--NON Chain</t>
  </si>
  <si>
    <t>grouptogather@gmail.com</t>
  </si>
  <si>
    <t>Bismillah Food Industry Pte Ltd @ SG</t>
  </si>
  <si>
    <t>azan@bismillahbiryani.com</t>
  </si>
  <si>
    <t>Churros Republic @ SG</t>
  </si>
  <si>
    <t>8809 4134</t>
  </si>
  <si>
    <t>Fones</t>
  </si>
  <si>
    <t>Caffeine Solutions @ SG-</t>
  </si>
  <si>
    <t>ben@caffeinesolutions.sg</t>
  </si>
  <si>
    <t>The NJ Bistro @ SG</t>
  </si>
  <si>
    <t>thejfamily81@yahoo.com.sg</t>
  </si>
  <si>
    <t>Next Step Holdings @ SG</t>
  </si>
  <si>
    <t>nicholas@nextstepholdings.com.sg</t>
  </si>
  <si>
    <t>Khooji Jing</t>
  </si>
  <si>
    <t>khoojingjing@gmail.com</t>
  </si>
  <si>
    <t xml:space="preserve"> 6898 1800</t>
  </si>
  <si>
    <t xml:space="preserve">YiFang Taiwan Fruit Tea @ SG </t>
  </si>
  <si>
    <t>9221 7273</t>
  </si>
  <si>
    <t>Long xiao Hawker Stall</t>
  </si>
  <si>
    <t>vivian@imcomms.com</t>
  </si>
  <si>
    <t>Ocean Deli @ SG</t>
  </si>
  <si>
    <t>oceandeli@hotmail.com</t>
  </si>
  <si>
    <t>MA</t>
  </si>
  <si>
    <t>Oh My Pho @ SG</t>
  </si>
  <si>
    <t>ohmyphosg@gmail.com</t>
  </si>
  <si>
    <t>DANIELE'S PIZZA LLP (T18LL1464H</t>
  </si>
  <si>
    <t>etj29@hotmail.com</t>
  </si>
  <si>
    <t>QI LI XIANG CAFE @ SG-</t>
  </si>
  <si>
    <t>carolllk53@hotmail.com</t>
  </si>
  <si>
    <t>2 AM Dessert Bar @ 2 Outlets SG</t>
  </si>
  <si>
    <t>2amdessertbar@gmail.com</t>
  </si>
  <si>
    <t xml:space="preserve">8497 0137 </t>
  </si>
  <si>
    <t>Huat heng desserts @ SG-</t>
  </si>
  <si>
    <t xml:space="preserve">liping200992@gmail.com&gt; </t>
  </si>
  <si>
    <t xml:space="preserve">Stanadalone Cafe </t>
  </si>
  <si>
    <t xml:space="preserve">65 81000772 </t>
  </si>
  <si>
    <t>Bay Front food @ SG-</t>
  </si>
  <si>
    <t>Ginnie@bayfrontfood.sg; Nicholas_mok@ymail.com</t>
  </si>
  <si>
    <t>Addictude @ Marina One West Tower</t>
  </si>
  <si>
    <t>addictude@addictudesg.com</t>
  </si>
  <si>
    <t>Dreams Establishment @ SG-</t>
  </si>
  <si>
    <t>evelyn@dreamsestablishment.com</t>
  </si>
  <si>
    <t>6222 2972</t>
  </si>
  <si>
    <t xml:space="preserve">The Mom Mom Club_Take Away Food Stall </t>
  </si>
  <si>
    <t>phyllis@themommomclub.sg</t>
  </si>
  <si>
    <t>S</t>
  </si>
  <si>
    <t>Total Group SG</t>
  </si>
  <si>
    <t>april.mol@total.com</t>
  </si>
  <si>
    <t>Wei Le Pte Ltd @ SG</t>
  </si>
  <si>
    <t>mariepersie70@gmail.com</t>
  </si>
  <si>
    <t>Hola Juice 2 Outlets (ONLY TAKE AWAY NEEDED</t>
  </si>
  <si>
    <t>90254700 f</t>
  </si>
  <si>
    <t>Singapore Saizeriya @ SG</t>
  </si>
  <si>
    <t>k.haoyang@saizeriya.com.sg</t>
  </si>
  <si>
    <t>Sebastian</t>
  </si>
  <si>
    <t>Myo @ SG</t>
  </si>
  <si>
    <t>myohopteltd@gmail.com</t>
  </si>
  <si>
    <t>Taste Of Putian @ SG</t>
  </si>
  <si>
    <t>pay.chongling@hotmail.com</t>
  </si>
  <si>
    <t>Ah Seng Durian @ SG</t>
  </si>
  <si>
    <t>ahsengdurian@gmail.com</t>
  </si>
  <si>
    <t>Soup Restaurant @ SG</t>
  </si>
  <si>
    <t xml:space="preserve">Soup Group </t>
  </si>
  <si>
    <t xml:space="preserve">KINGS CART COFFEE FACTORY </t>
  </si>
  <si>
    <t>maggie@kingscartcoffee.com</t>
  </si>
  <si>
    <t>Standalone Cafe</t>
  </si>
  <si>
    <t>65 8883 3154</t>
  </si>
  <si>
    <t>Sarawak Kolo mee at Tampines</t>
  </si>
  <si>
    <t>Hawker Stall @ SG</t>
  </si>
  <si>
    <t>HIK Stall @ SG</t>
  </si>
  <si>
    <t>Lim,</t>
  </si>
  <si>
    <t>Hawker Stall @ SG -- Needs immediate Sign up_</t>
  </si>
  <si>
    <t>Chef recipe Vegan craft Siam village</t>
  </si>
  <si>
    <t>jervis90mins@gmail.com</t>
  </si>
  <si>
    <t xml:space="preserve">Geylang Lor 20 Banana Fritters Pte Ltd </t>
  </si>
  <si>
    <t>alan@g20bfrits.com.sg</t>
  </si>
  <si>
    <t>Nergiz</t>
  </si>
  <si>
    <t>Mr Doner kebab &amp; curry and spize @ SG</t>
  </si>
  <si>
    <t>nergiz005@hotmail.com</t>
  </si>
  <si>
    <t>Phins Catering services _Counter Order Take Away</t>
  </si>
  <si>
    <t xml:space="preserve">phins.dorothy@gmail.com
</t>
  </si>
  <si>
    <t>Andygrillexpress @ Re: Hawker Stall @ SG</t>
  </si>
  <si>
    <t>90605534 / 97319496</t>
  </si>
  <si>
    <t>The Oyster Bank @ SG</t>
  </si>
  <si>
    <t xml:space="preserve">90060547 - </t>
  </si>
  <si>
    <t>Sahara Bar And Restaurant @ SG</t>
  </si>
  <si>
    <t>sahara58bq@gmail.com</t>
  </si>
  <si>
    <t>Tingkat Meals @ SG</t>
  </si>
  <si>
    <t>sgvenues@gmail.com</t>
  </si>
  <si>
    <t>E Sarn Thai Cuisine @ SG</t>
  </si>
  <si>
    <t>melvin.ngkh@gmail.com</t>
  </si>
  <si>
    <t>Singapore F&amp;B Leadership Management Pte Ltd</t>
  </si>
  <si>
    <t>limrichstep@gmail.com</t>
  </si>
  <si>
    <t xml:space="preserve">Dwaraka Food </t>
  </si>
  <si>
    <t>dwarakafood@gmail.com</t>
  </si>
  <si>
    <t>Sherman</t>
  </si>
  <si>
    <t>Joyden Seafood, Joyden Hill, Joyden Canton @ SG</t>
  </si>
  <si>
    <t>sherman@hansfortinvest.com.sg</t>
  </si>
  <si>
    <t>Russ</t>
  </si>
  <si>
    <t>Aldrige</t>
  </si>
  <si>
    <t>Two Little Boys Pte Ltd @ SG</t>
  </si>
  <si>
    <t>russ.aldridge@gmail.com</t>
  </si>
  <si>
    <t>Yakizen Pte Ltd _JP Restauran</t>
  </si>
  <si>
    <t>jonnycandra@yahoo.com</t>
  </si>
  <si>
    <t>Mun Zuk WG Pte Ltd @ SG</t>
  </si>
  <si>
    <t>Fu Lu Shou Fu Ji Hainanese Chicken Rice @ SG</t>
  </si>
  <si>
    <t xml:space="preserve">khengtiongnew@gmail.com
</t>
  </si>
  <si>
    <t>9674 7862</t>
  </si>
  <si>
    <t>The Curry Wok Pte Ltd @ SG</t>
  </si>
  <si>
    <t>currywok@yahoo.com.sg</t>
  </si>
  <si>
    <t>Khung</t>
  </si>
  <si>
    <t xml:space="preserve">SUNNY CHOICE PTE LTD @ SG </t>
  </si>
  <si>
    <t>sales@sunnychoice.com.sg</t>
  </si>
  <si>
    <t>The Yeast Side @ SG</t>
  </si>
  <si>
    <t>Bob &amp; Coco @ SG-</t>
  </si>
  <si>
    <t>twoxfour.sg@gmail.com</t>
  </si>
  <si>
    <t>B&amp;T Cafe Pte Ltd</t>
  </si>
  <si>
    <t xml:space="preserve">9450 2019 </t>
  </si>
  <si>
    <t>Chia</t>
  </si>
  <si>
    <t>Fill a Pita @ SG</t>
  </si>
  <si>
    <t>hugo@fillapita.co</t>
  </si>
  <si>
    <t>Western empire 80 @ Marine Parade Central</t>
  </si>
  <si>
    <t>grillmasterjaguar24@gmail.com</t>
  </si>
  <si>
    <t>BWM</t>
  </si>
  <si>
    <t xml:space="preserve">fadil@theblackhole.sg
</t>
  </si>
  <si>
    <t>9067 2384</t>
  </si>
  <si>
    <t>Mori Mori Yogashi @ SG-</t>
  </si>
  <si>
    <t>toh_jing_yi@yahoo.com.sg</t>
  </si>
  <si>
    <t>Jekyll &amp; Hyde @ SG</t>
  </si>
  <si>
    <t>eechien@jekyll.sg</t>
  </si>
  <si>
    <t>Jearea</t>
  </si>
  <si>
    <t xml:space="preserve">18 Chefs </t>
  </si>
  <si>
    <t>jearea.heng@eighteenchefs.com</t>
  </si>
  <si>
    <t>Chopra</t>
  </si>
  <si>
    <t>Yellow Cab Pizza Co. (Pagh Pte. Ltd) @ SG</t>
  </si>
  <si>
    <t>tiarachopra@outlook.com</t>
  </si>
  <si>
    <t>8189 7490</t>
  </si>
  <si>
    <t>Meltdown Pte Ltd</t>
  </si>
  <si>
    <t xml:space="preserve">Meltdown Pte Ltd @ SG </t>
  </si>
  <si>
    <t>Broadway Food Holdings (Backyard Griller)</t>
  </si>
  <si>
    <t>Broadway Food Holdings @ SG</t>
  </si>
  <si>
    <t>JAPAN RAIL CAFE @ SG</t>
  </si>
  <si>
    <t>wyncy@jreast.sg</t>
  </si>
  <si>
    <t>Oh Cafe Pte Ltd @ SG</t>
  </si>
  <si>
    <t>caffezeppin@gmail.com</t>
  </si>
  <si>
    <t>Te</t>
  </si>
  <si>
    <t>Heng Heng Bak Kut Teh</t>
  </si>
  <si>
    <t>cavinte92@gmail.com</t>
  </si>
  <si>
    <t>Ahcat's kitchen @ SG</t>
  </si>
  <si>
    <t>regineliewjn@gmail.com</t>
  </si>
  <si>
    <t>HK Sheng Kee @ SG</t>
  </si>
  <si>
    <t>penn.isaac@gmail.com</t>
  </si>
  <si>
    <t>Agape Food &amp; Beverage Pte Ltd @ SG</t>
  </si>
  <si>
    <t xml:space="preserve">Going Om @ SG </t>
  </si>
  <si>
    <t>ollie@going-om.com.sg</t>
  </si>
  <si>
    <t>An Honest Cup LL{P @ SG</t>
  </si>
  <si>
    <t>anhonestcup@gmail.com</t>
  </si>
  <si>
    <t>Corrine</t>
  </si>
  <si>
    <t>One Fattened Calf @ SG</t>
  </si>
  <si>
    <t>corrinelim.chan@gmail.com</t>
  </si>
  <si>
    <t>The Acai Duo @ SG</t>
  </si>
  <si>
    <t>theacaiduo@gmail.com</t>
  </si>
  <si>
    <t>SG TAPS -- SG to SG</t>
  </si>
  <si>
    <t>hirosenorihito@gmail.com</t>
  </si>
  <si>
    <t xml:space="preserve">Global Inno Food Pte Ltd @ SG--SG </t>
  </si>
  <si>
    <t>BREAD YARD @ SG</t>
  </si>
  <si>
    <t>contactus@breadyard.com.sg</t>
  </si>
  <si>
    <t>Geetham Food House @ SG</t>
  </si>
  <si>
    <t>geethamfoodhouse@gmail.com</t>
  </si>
  <si>
    <t>Xue</t>
  </si>
  <si>
    <t xml:space="preserve">The Hot Gathering @ SG </t>
  </si>
  <si>
    <t>xuenan.yang@icloud.com</t>
  </si>
  <si>
    <t>LHL Group Pte. Ltd @ SG</t>
  </si>
  <si>
    <t>paul.yam@kimlygroup.sg</t>
  </si>
  <si>
    <t>Bee Hoon @ SG</t>
  </si>
  <si>
    <t>fjmniga@gmail.com</t>
  </si>
  <si>
    <t>6352 1227</t>
  </si>
  <si>
    <t xml:space="preserve">SPRG @ SG </t>
  </si>
  <si>
    <t>Bukit Merah View Fishball Minced Meat Noodle</t>
  </si>
  <si>
    <t>zaccl@outlook.com</t>
  </si>
  <si>
    <t xml:space="preserve">Sticky Lo Mi fan </t>
  </si>
  <si>
    <t>jeromechow.yong01@gmail.com</t>
  </si>
  <si>
    <t xml:space="preserve">The New and Old Pte Ltd </t>
  </si>
  <si>
    <t>edmundquek@thenewnold.com</t>
  </si>
  <si>
    <t xml:space="preserve">Kushi Japanese Holdings </t>
  </si>
  <si>
    <t>vickydas0505@gmail.com</t>
  </si>
  <si>
    <t>Jumiko Authentic Thai</t>
  </si>
  <si>
    <t>Local Delights 7 Outlets @ SG</t>
  </si>
  <si>
    <t>Bakes and Bites @ SG</t>
  </si>
  <si>
    <t>limandy1995@gmail.com</t>
  </si>
  <si>
    <t>WabiSabi Dining @ SG</t>
  </si>
  <si>
    <t>emi.horiuchi@gmail.com</t>
  </si>
  <si>
    <t xml:space="preserve">HSG (5 to 9 Outlets) @ SG </t>
  </si>
  <si>
    <t>tracy_chin@hsg.com.sg</t>
  </si>
  <si>
    <t>Petite Bowl @ SG</t>
  </si>
  <si>
    <t>josephine_koh@petitbowl.com</t>
  </si>
  <si>
    <t>Kajiken @ SG -- 3 Outlets</t>
  </si>
  <si>
    <t>PARK CAFE @ SG</t>
  </si>
  <si>
    <t xml:space="preserve">9644 6645 </t>
  </si>
  <si>
    <t>Project ACAI_4 Outlets</t>
  </si>
  <si>
    <t>A Little Cake Shoppe @ SG</t>
  </si>
  <si>
    <t>info@alittlecakeshoppe.com</t>
  </si>
  <si>
    <t>. on ISH . machines - YS FNB PL</t>
  </si>
  <si>
    <t>ss.lim@noms.sg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</si>
  <si>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</si>
  <si>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</si>
  <si>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</si>
  <si>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</si>
  <si>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</si>
  <si>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</si>
  <si>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>Legion Kitchens @ SG</t>
  </si>
  <si>
    <t>kaijun40640@gmail.com</t>
  </si>
  <si>
    <t>Katz</t>
  </si>
  <si>
    <t xml:space="preserve"> Integrate the best express delivery provider--PANDAGO XX TAB</t>
  </si>
  <si>
    <t>louis.katz@foodpanda.sg</t>
  </si>
  <si>
    <t xml:space="preserve">Chong Poh Gourmet @ SG </t>
  </si>
  <si>
    <t>longminliau@gmail.com</t>
  </si>
  <si>
    <t>Nicolas</t>
  </si>
  <si>
    <t>Ming Chung Restaurant @ SG</t>
  </si>
  <si>
    <t>nicholashwm@gmail.com</t>
  </si>
  <si>
    <t xml:space="preserve">FDC . Kiosk . @ SG </t>
  </si>
  <si>
    <t>Megusta</t>
  </si>
  <si>
    <t xml:space="preserve">Megusta Cafe @ SG </t>
  </si>
  <si>
    <t>megusta.bookkeeping@gmail.com</t>
  </si>
  <si>
    <t>Y</t>
  </si>
  <si>
    <t>Super Kitchen @ SG</t>
  </si>
  <si>
    <t>raja.superkitchin@gmail.com</t>
  </si>
  <si>
    <t xml:space="preserve">Hot &amp; Spicy Kitchen @ SG </t>
  </si>
  <si>
    <t xml:space="preserve">61 431 309 839 </t>
  </si>
  <si>
    <t>Prodigal People PTE. LTD. @ SG</t>
  </si>
  <si>
    <t xml:space="preserve">andreamjtang@gmail.com
</t>
  </si>
  <si>
    <t>Joanna</t>
  </si>
  <si>
    <t>The Very Green Company @ SG</t>
  </si>
  <si>
    <t xml:space="preserve">
joanna@verygreen.co</t>
  </si>
  <si>
    <t>Suki Sushi Pte Ltd @ SG</t>
  </si>
  <si>
    <t xml:space="preserve">
jasminekoh@sukigroup.com.sg</t>
  </si>
  <si>
    <t>Jack Ma @ SG</t>
  </si>
  <si>
    <t>jackma@jackma.com.sg</t>
  </si>
  <si>
    <t xml:space="preserve">Baci Baci Restaurant SG </t>
  </si>
  <si>
    <t xml:space="preserve">Billy's Western URGENT @ SG </t>
  </si>
  <si>
    <t xml:space="preserve">Western restaurant @ 6th Avenue Centre </t>
  </si>
  <si>
    <t xml:space="preserve">Staple Food Singapore
</t>
  </si>
  <si>
    <t xml:space="preserve">
staplefoodsg@gmail.com</t>
  </si>
  <si>
    <t>Sticky Lo Mi Fan @ SG</t>
  </si>
  <si>
    <t>The SAF Warrant Officers And Specialists Club @ SG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</si>
  <si>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</si>
  <si>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</si>
  <si>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</si>
  <si>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</si>
  <si>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</si>
  <si>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</si>
  <si>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Zero Italian Kitchen &amp; Bar </t>
  </si>
  <si>
    <t xml:space="preserve">Timbre+
</t>
  </si>
  <si>
    <t xml:space="preserve">
dawnni5580@gmail.com</t>
  </si>
  <si>
    <t>Niyas</t>
  </si>
  <si>
    <t>Delta Foods @ SG</t>
  </si>
  <si>
    <t>niyas@deltafoods.com.sg</t>
  </si>
  <si>
    <t xml:space="preserve">State Land Cafe @ SG </t>
  </si>
  <si>
    <t>statelandcafe@gmail.com</t>
  </si>
  <si>
    <t>Oh My Goro @ SG</t>
  </si>
  <si>
    <t>KT</t>
  </si>
  <si>
    <t xml:space="preserve">Affinity Cafe &amp; Bakery Pte Ltd
</t>
  </si>
  <si>
    <t>affinitycafe@hotmail.com</t>
  </si>
  <si>
    <t>Grace Espresso Requirement of . Kiosk Solutions @ SG</t>
  </si>
  <si>
    <t xml:space="preserve">9337 1976. </t>
  </si>
  <si>
    <t>Big Charlie -- @ SG</t>
  </si>
  <si>
    <t xml:space="preserve">Rickson
</t>
  </si>
  <si>
    <t>Kamala Restaurant @ SG</t>
  </si>
  <si>
    <t xml:space="preserve">
kamala.rickson@gmail.com</t>
  </si>
  <si>
    <t xml:space="preserve">9388 5800
</t>
  </si>
  <si>
    <t xml:space="preserve">Keita
</t>
  </si>
  <si>
    <t xml:space="preserve">Ogata
</t>
  </si>
  <si>
    <t>Wizjoint Pte Ltd @ SG</t>
  </si>
  <si>
    <t xml:space="preserve">wizjoint.ogata@gmail.com
</t>
  </si>
  <si>
    <t xml:space="preserve">Japan Mediamix Singapore Pte Ltd . </t>
  </si>
  <si>
    <t xml:space="preserve"> 911111205 -</t>
  </si>
  <si>
    <t>Foo</t>
  </si>
  <si>
    <t>ISL</t>
  </si>
  <si>
    <t xml:space="preserve">
william@datamining.com.sg</t>
  </si>
  <si>
    <t>Catherine</t>
  </si>
  <si>
    <t>Noins</t>
  </si>
  <si>
    <t>Sicilia Mia Pte Ltd @ SG</t>
  </si>
  <si>
    <t xml:space="preserve">catherine.nonis@live.com.sg
</t>
  </si>
  <si>
    <t>LEE</t>
  </si>
  <si>
    <t>The Plant Food.co @ SG</t>
  </si>
  <si>
    <t xml:space="preserve">theplantfood.co@gmail.com
</t>
  </si>
  <si>
    <t>James</t>
  </si>
  <si>
    <t xml:space="preserve">Standalone Restaurant @ SG </t>
  </si>
  <si>
    <t>9855 7630</t>
  </si>
  <si>
    <t>Karthik</t>
  </si>
  <si>
    <t>Alagappan</t>
  </si>
  <si>
    <t xml:space="preserve">Taste of India Restaurant Pte Ltd @ SG </t>
  </si>
  <si>
    <t xml:space="preserve">tasteofindia@singnet.com.sg
</t>
  </si>
  <si>
    <t>Ting</t>
  </si>
  <si>
    <t>Seed Squared Pte ltd @ SG</t>
  </si>
  <si>
    <t xml:space="preserve">jackuk@gmail.com
</t>
  </si>
  <si>
    <t>Shao Restaurant @ SG</t>
  </si>
  <si>
    <t>Golden Charcoal -- . on Quotation Signing</t>
  </si>
  <si>
    <t xml:space="preserve"> justinchewky89@gmail.com</t>
  </si>
  <si>
    <t>65  9191 8843</t>
  </si>
  <si>
    <t xml:space="preserve">EBI BAR @ SG </t>
  </si>
  <si>
    <t>9451 0802</t>
  </si>
  <si>
    <t>Moo</t>
  </si>
  <si>
    <t xml:space="preserve">SGP
</t>
  </si>
  <si>
    <t xml:space="preserve">amandamootm@gmail.com
</t>
  </si>
  <si>
    <t xml:space="preserve">Bilal
</t>
  </si>
  <si>
    <t xml:space="preserve">UR REHMAN
</t>
  </si>
  <si>
    <t xml:space="preserve">Kebabchi Charcoal BBQ
</t>
  </si>
  <si>
    <t xml:space="preserve">b.urrehman@gmail.com
</t>
  </si>
  <si>
    <t>Sim</t>
  </si>
  <si>
    <t xml:space="preserve">Tenya Singapore Pte Ltd
</t>
  </si>
  <si>
    <t xml:space="preserve">chrissim@tenya.com.sg
</t>
  </si>
  <si>
    <t xml:space="preserve">KWAMPENTHAI
</t>
  </si>
  <si>
    <t xml:space="preserve">charleyleehc@gmail.com
</t>
  </si>
  <si>
    <t>Amazing Hoki @ SG</t>
  </si>
  <si>
    <t xml:space="preserve">amazinghoki@gmail.com
</t>
  </si>
  <si>
    <t xml:space="preserve">Marc
</t>
  </si>
  <si>
    <t>Thio</t>
  </si>
  <si>
    <t xml:space="preserve">Megumi Japanese </t>
  </si>
  <si>
    <t xml:space="preserve">thio.marc@yahoo.com
</t>
  </si>
  <si>
    <t>Clement</t>
  </si>
  <si>
    <t>Super Coconut @ SG -</t>
  </si>
  <si>
    <t xml:space="preserve">bellyyummypteltd@gmail.com
</t>
  </si>
  <si>
    <t>URGENT* SKYLINE CATERING @ SG</t>
  </si>
  <si>
    <t>Yaani</t>
  </si>
  <si>
    <t>Awfully Chocolate Incoming Call . to SG</t>
  </si>
  <si>
    <t>Cassandra</t>
  </si>
  <si>
    <t>Spoilmrkt @ SG</t>
  </si>
  <si>
    <t xml:space="preserve">cassandra.lye@gmail.com
</t>
  </si>
  <si>
    <t>Tea Top @ Keppel Club -- SG</t>
  </si>
  <si>
    <t>Yaahni</t>
  </si>
  <si>
    <t>Singapore Swimming Club</t>
  </si>
  <si>
    <t>65 93262063</t>
  </si>
  <si>
    <t>Pince and Pints @ SG</t>
  </si>
  <si>
    <t>Chicky Fun Pte Ltd @ SG</t>
  </si>
  <si>
    <t xml:space="preserve">Wok Hey Pte Ltd
</t>
  </si>
  <si>
    <t xml:space="preserve">jason.tan@wokhey.sg
</t>
  </si>
  <si>
    <t>Kumar</t>
  </si>
  <si>
    <t xml:space="preserve">A 2 B Indian Restaurants @ SG </t>
  </si>
  <si>
    <t xml:space="preserve">a2bsingapore@gmail.com
</t>
  </si>
  <si>
    <t>Samme</t>
  </si>
  <si>
    <t xml:space="preserve">Chilli @ SG _ 2 Cafe </t>
  </si>
  <si>
    <t xml:space="preserve">samme@chilli.com.sg
</t>
  </si>
  <si>
    <t xml:space="preserve">
ops@threeblindpigs.sg</t>
  </si>
  <si>
    <t>My Kitchen @ SG</t>
  </si>
  <si>
    <t>Toh</t>
  </si>
  <si>
    <t xml:space="preserve">Media Mix @ SG -- SG to SG
</t>
  </si>
  <si>
    <t>ivan.toh@mediamix.sg</t>
  </si>
  <si>
    <t>TEL +65-6732-2343 | FAX +65-6732-2344</t>
  </si>
  <si>
    <t>Sofra Turkish Restaurant @ SG --</t>
  </si>
  <si>
    <t>sofrasingapore@gmail.com</t>
  </si>
  <si>
    <t>Master Chippy Pte Ltd @ SG</t>
  </si>
  <si>
    <t xml:space="preserve">xaocious@gmail.com
</t>
  </si>
  <si>
    <t xml:space="preserve">Wine &amp; Kitchen @ SG -- SG to SG
</t>
  </si>
  <si>
    <t xml:space="preserve">
jonathan.ng@winekitchensg.com
 </t>
  </si>
  <si>
    <t xml:space="preserve">Achha Indian Food </t>
  </si>
  <si>
    <t xml:space="preserve">gustin@accha.co.id
</t>
  </si>
  <si>
    <t>Ivy</t>
  </si>
  <si>
    <t xml:space="preserve">GoodEarth Seafood Soup Pte Ltd @ SG -- SG to SG
</t>
  </si>
  <si>
    <t>goodearthseafoodsoup@gmail.com</t>
  </si>
  <si>
    <t xml:space="preserve">Doongj Restaurant @ SG -- Incoming ISH to SG
</t>
  </si>
  <si>
    <t xml:space="preserve">doongj@singapore.org
</t>
  </si>
  <si>
    <t xml:space="preserve">Geetham Restaurant @ SG -- SG to SG
</t>
  </si>
  <si>
    <t xml:space="preserve">Three Blind Pigs @ SG -- Referral Lead from .
</t>
  </si>
  <si>
    <t>wjin@..com</t>
  </si>
  <si>
    <t xml:space="preserve">Marcy Foods @ SG -- SG to SG
</t>
  </si>
  <si>
    <t xml:space="preserve">theartisanyard@gmail.com
</t>
  </si>
  <si>
    <t xml:space="preserve">Wang Dae Bak Korean BBQ @ SG -- SG to SG
</t>
  </si>
  <si>
    <t>Alston</t>
  </si>
  <si>
    <t>Chiam</t>
  </si>
  <si>
    <t xml:space="preserve">Otter @ SG -- SG to SG
</t>
  </si>
  <si>
    <t xml:space="preserve">alston@otter-group.com
</t>
  </si>
  <si>
    <t xml:space="preserve">Wolfrik's Pizzeria @ SG </t>
  </si>
  <si>
    <t xml:space="preserve">wolfriks.pizzeria@outlook.com
</t>
  </si>
  <si>
    <t xml:space="preserve">The Serangoon Nyonya Pte Ltd @ SG -- SG to SG
</t>
  </si>
  <si>
    <t xml:space="preserve">tandeluneugene@gmail.com
</t>
  </si>
  <si>
    <t xml:space="preserve">9833 8486
</t>
  </si>
  <si>
    <t>Sod Cafe @ SG</t>
  </si>
  <si>
    <t>60 165177295</t>
  </si>
  <si>
    <t>Champion Bolo Bun @ SG</t>
  </si>
  <si>
    <t xml:space="preserve">kerwinsoh@bolobun.co
</t>
  </si>
  <si>
    <t xml:space="preserve">Eastern House of Seafood Pre Ltd @ SG -- SG to SG
</t>
  </si>
  <si>
    <t xml:space="preserve">easternhouseofseafood@gmail.com
</t>
  </si>
  <si>
    <t xml:space="preserve">Say Green Vegetarian Gourmet @ SG -- SG to SG
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</si>
  <si>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</si>
  <si>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</si>
  <si>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</si>
  <si>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BUKHARA @ SG -- SG to SG
</t>
  </si>
  <si>
    <t xml:space="preserve">jawahar29@yahoo.com.sg
</t>
  </si>
  <si>
    <t xml:space="preserve">Re: Pen &amp; Inc_5 Outlets @ SG--SG to SG
</t>
  </si>
  <si>
    <t xml:space="preserve">Regent Hotel @ SG -- SG to SG
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</si>
  <si>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</si>
  <si>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</si>
  <si>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</si>
  <si>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info@changinasilemak.com
</t>
  </si>
  <si>
    <t xml:space="preserve">Oracle . -- SG to SG
</t>
  </si>
  <si>
    <t xml:space="preserve">surin.khomrat@oracle.com
</t>
  </si>
  <si>
    <t>tham</t>
  </si>
  <si>
    <t xml:space="preserve">Wan Pot Tea @ SG -- SG to SG
</t>
  </si>
  <si>
    <t xml:space="preserve">andrewtham@wanpotea.sg
</t>
  </si>
  <si>
    <t>65 88471557</t>
  </si>
  <si>
    <t xml:space="preserve">Garibaldi Italian Restaurant &amp; Bar @ SG -- SG to SG
</t>
  </si>
  <si>
    <t>gm@garibaldisingapore.com</t>
  </si>
  <si>
    <t>HP: 9438 3062 | DID: (65) 6337 2770 | FAX: (65) 6337 3770</t>
  </si>
  <si>
    <t xml:space="preserve">Dusit Thani Singapore @ SG </t>
  </si>
  <si>
    <t xml:space="preserve">kim.gates@dusit.com
</t>
  </si>
  <si>
    <t xml:space="preserve">Botany Singapore -- SG to SG
</t>
  </si>
  <si>
    <t xml:space="preserve">cassandra@botany.com.sg
</t>
  </si>
  <si>
    <t xml:space="preserve">Occasions Catering Pte Ltd @ SG -- SG to SG
</t>
  </si>
  <si>
    <t xml:space="preserve">bennyfoo@hotmail.com
</t>
  </si>
  <si>
    <t xml:space="preserve">Pro &amp; Con Pte Ltd Food Court @ SG -- SG to SG
</t>
  </si>
  <si>
    <t xml:space="preserve">chung_jezz83@hotmail.com
</t>
  </si>
  <si>
    <t xml:space="preserve">GEDFREE Pte. Ltd. @ SG -- SG to SG
</t>
  </si>
  <si>
    <t xml:space="preserve">kumara.viknesh@gmail.com
</t>
  </si>
  <si>
    <t xml:space="preserve">TGAL SINGAPORE PTE LTD @ SG -- SG to SG
</t>
  </si>
  <si>
    <t xml:space="preserve">terence9149@gmail.com
</t>
  </si>
  <si>
    <t xml:space="preserve">Millennum Hotels @ SG -- SG to SG
</t>
  </si>
  <si>
    <t xml:space="preserve">anthoney.j@millennumhotels.com
</t>
  </si>
  <si>
    <t xml:space="preserve">Fishop @ SG -- SG to SG
</t>
  </si>
  <si>
    <t>65 91112282</t>
  </si>
  <si>
    <t>Spark Launchpad Partnership . @ SG</t>
  </si>
  <si>
    <t xml:space="preserve">patrick.ng@sparklaunchpad.sg
</t>
  </si>
  <si>
    <t>Picrow @ SG</t>
  </si>
  <si>
    <t>65 96674849</t>
  </si>
  <si>
    <t>Mevan Asia Pte Ltd @ SG</t>
  </si>
  <si>
    <t xml:space="preserve">daunbistrosg@gmail.com
</t>
  </si>
  <si>
    <t>BHAI BIRYANI SDN BHD @ SG</t>
  </si>
  <si>
    <t xml:space="preserve">bhaibiryani.sb@gmail.com
</t>
  </si>
  <si>
    <t>Douglas</t>
  </si>
  <si>
    <t xml:space="preserve">Williams
</t>
  </si>
  <si>
    <t xml:space="preserve">More info thanks
</t>
  </si>
  <si>
    <t xml:space="preserve">douglas@ladiesandgentlemen.sg
</t>
  </si>
  <si>
    <t>8874 5385</t>
  </si>
  <si>
    <t>Ryo Yakiniku @ SG</t>
  </si>
  <si>
    <t xml:space="preserve">ismaildidih@gmail.com
</t>
  </si>
  <si>
    <t>One Palate Pte Ltd @ SG</t>
  </si>
  <si>
    <t xml:space="preserve">estheryhlim@hotmail.com
</t>
  </si>
  <si>
    <t xml:space="preserve">Badaling Holdings Pte Ltd -- 50 F&amp;B Stalls </t>
  </si>
  <si>
    <t>mingfu96@hotmail.com</t>
  </si>
  <si>
    <t>Shreyas</t>
  </si>
  <si>
    <t>Ladde</t>
  </si>
  <si>
    <t xml:space="preserve">Holiday Inn Singapore Little India @ SG -- SG to SG
</t>
  </si>
  <si>
    <t xml:space="preserve">shreyas.ladde@ihg.com
</t>
  </si>
  <si>
    <t xml:space="preserve">INFINITY COLOSSAL PTE. LTD.
</t>
  </si>
  <si>
    <t xml:space="preserve">tay.kelvin@infinitycolossal.com
</t>
  </si>
  <si>
    <t xml:space="preserve">Verve Restaurant Group @ SG -- SG to SG
</t>
  </si>
  <si>
    <t xml:space="preserve">hr@verve.sg
</t>
  </si>
  <si>
    <t xml:space="preserve">Pace Enterprise @ Singapore -- SG to SG
</t>
  </si>
  <si>
    <t xml:space="preserve">kenley.goh@pacenow.co
</t>
  </si>
  <si>
    <t xml:space="preserve">Wei loonv
</t>
  </si>
  <si>
    <t xml:space="preserve">QLX Pte Ltd 1-2 Outlets @ SG -- SG to SG
</t>
  </si>
  <si>
    <t xml:space="preserve">alexis@xchange.sg
</t>
  </si>
  <si>
    <t xml:space="preserve">Yoshinoya @ SG -- Incoming ISH to SG
</t>
  </si>
  <si>
    <t>wanjin@yoshinoya.com.sg</t>
  </si>
  <si>
    <t>My mobile number is 88335179</t>
  </si>
  <si>
    <t xml:space="preserve">Yanxi Restaurant @ SG -- SG to SG
</t>
  </si>
  <si>
    <t xml:space="preserve">YMCA @ SG -- . .
</t>
  </si>
  <si>
    <t xml:space="preserve">andrew.chan@mymca.org.sg
</t>
  </si>
  <si>
    <t>Palate Addiction Pte Ltd @ SG</t>
  </si>
  <si>
    <t xml:space="preserve">jay@palateaddiction.com
</t>
  </si>
  <si>
    <t xml:space="preserve">Xpressflower/Knots Cafe @ SG -- Incoming Call . to SG
</t>
  </si>
  <si>
    <t xml:space="preserve">samchia@xpressflower.com
</t>
  </si>
  <si>
    <t xml:space="preserve"> 9638 3535</t>
  </si>
  <si>
    <t>65 97249825</t>
  </si>
  <si>
    <t xml:space="preserve">Cafe @ SG -- Incoming Call . to SG
</t>
  </si>
  <si>
    <t>9066 9733.</t>
  </si>
  <si>
    <t xml:space="preserve">Jiak Ba Liao @ SG -- SG to SG
</t>
  </si>
  <si>
    <t xml:space="preserve">admin@jiakbaliao.com
</t>
  </si>
  <si>
    <t xml:space="preserve">Grand Hyatt Singapore @ Singapore -- SG to SG
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</si>
  <si>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</si>
  <si>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</si>
  <si>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</si>
  <si>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</si>
  <si>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 xml:space="preserve">patrickxu@cornerstoness.com.sg
</t>
  </si>
  <si>
    <t>Max</t>
  </si>
  <si>
    <t xml:space="preserve">Old Chang Kee @ SG -- SG to SG
</t>
  </si>
  <si>
    <t xml:space="preserve">max_chua@oldchangkee.com
</t>
  </si>
  <si>
    <t>Schaa</t>
  </si>
  <si>
    <t xml:space="preserve">I want to have a QR code menu where it's convenient for customers and my staff.
</t>
  </si>
  <si>
    <t xml:space="preserve">7uckytgxr@gmail.com
</t>
  </si>
  <si>
    <t>Table @ 7 Pte Ltd in SG -- SG to SG</t>
  </si>
  <si>
    <t xml:space="preserve">kc@tableat7.com
</t>
  </si>
  <si>
    <t xml:space="preserve">Lucky Lion Coffee @ SG -- SG to SG
</t>
  </si>
  <si>
    <t xml:space="preserve">sookzhen@gmail.com
</t>
  </si>
  <si>
    <t>65 8118 1587</t>
  </si>
  <si>
    <t>Nazeer</t>
  </si>
  <si>
    <t xml:space="preserve">Brand Aaysha restaurant @ SG -- Incoming ish to SG
</t>
  </si>
  <si>
    <t>65 9337 5374</t>
  </si>
  <si>
    <t xml:space="preserve">Stella </t>
  </si>
  <si>
    <t xml:space="preserve">Keys Fresh Pte Ltd @ SG -- SG to SG
</t>
  </si>
  <si>
    <t xml:space="preserve">keysfresh@outlook.com
</t>
  </si>
  <si>
    <t xml:space="preserve">zi ning
</t>
  </si>
  <si>
    <t xml:space="preserve">Societea @ SG -- SG to SG
</t>
  </si>
  <si>
    <t xml:space="preserve">au.zi.ning@outlook.com
</t>
  </si>
  <si>
    <t xml:space="preserve">Yujin Food and Beverage Pte Ltd @ SG -- SG to SG
</t>
  </si>
  <si>
    <t>Shake Shack Singapore Jewel Pte Ltd</t>
  </si>
  <si>
    <t>cindy_yeo@spc.co.kr</t>
  </si>
  <si>
    <t>Multi Culnary Concept</t>
  </si>
  <si>
    <t>sean@ckstarentertainment.com</t>
  </si>
  <si>
    <t>9154 5607</t>
  </si>
  <si>
    <t>Tiancheng</t>
  </si>
  <si>
    <t>Huang</t>
  </si>
  <si>
    <t>NTU Peach Restaurant</t>
  </si>
  <si>
    <t>athinkingneal@gmail.com</t>
  </si>
  <si>
    <t xml:space="preserve">Ah Koons Bak Kut Teh </t>
  </si>
  <si>
    <t>natsureborn02@gmail.com</t>
  </si>
  <si>
    <t>Makansutra</t>
  </si>
  <si>
    <t>gordon@makansutra.com</t>
  </si>
  <si>
    <t>Tommy</t>
  </si>
  <si>
    <t>Thai Cuisine</t>
  </si>
  <si>
    <t>Jasmine</t>
  </si>
  <si>
    <t>The Royals Cafe Pte Ltd</t>
  </si>
  <si>
    <t>jas@royalcakes.com</t>
  </si>
  <si>
    <t>Ishanee</t>
  </si>
  <si>
    <t>Nagpurkar</t>
  </si>
  <si>
    <t>TRIVE</t>
  </si>
  <si>
    <t>ishanee@trive.vc</t>
  </si>
  <si>
    <t>Seow</t>
  </si>
  <si>
    <t>Goodwill Entertainment Holdings Pte Ltd</t>
  </si>
  <si>
    <t>lynn@goodwillsg.com</t>
  </si>
  <si>
    <t>Ang</t>
  </si>
  <si>
    <t>Palascoot</t>
  </si>
  <si>
    <t>ganangyang97@gmail.com</t>
  </si>
  <si>
    <t>Liying</t>
  </si>
  <si>
    <t>Sugar Cube</t>
  </si>
  <si>
    <t>YC</t>
  </si>
  <si>
    <t>logisticsyc872@gmail.com</t>
  </si>
  <si>
    <t xml:space="preserve">Good Old Taste </t>
  </si>
  <si>
    <t>maxongsm@gmail.com</t>
  </si>
  <si>
    <t>Virn Ping</t>
  </si>
  <si>
    <t>Chai</t>
  </si>
  <si>
    <t>The American Club</t>
  </si>
  <si>
    <t>vpchai@amclub.org.sg</t>
  </si>
  <si>
    <t>mint museum of toys</t>
  </si>
  <si>
    <t>Extra Virgin Pizza</t>
  </si>
  <si>
    <t>arthur.hiah@overeasy.com.sg</t>
  </si>
  <si>
    <t>Hanna</t>
  </si>
  <si>
    <t>WOW Group (Singapura Club)</t>
  </si>
  <si>
    <t>hanna@singapuraclub.com</t>
  </si>
  <si>
    <t>Ngugen</t>
  </si>
  <si>
    <t>ST GAmes</t>
  </si>
  <si>
    <t xml:space="preserve">ng120966@gmail.com
</t>
  </si>
  <si>
    <t>Yole</t>
  </si>
  <si>
    <t>joeywong501@gmail.com</t>
  </si>
  <si>
    <t>Loveridge</t>
  </si>
  <si>
    <t>Meatsmith</t>
  </si>
  <si>
    <t>james@meatsmith.com.sg</t>
  </si>
  <si>
    <t>Soon Hui</t>
  </si>
  <si>
    <t>Hajme Singapore</t>
  </si>
  <si>
    <t>soonhui@hajime.com.sg</t>
  </si>
  <si>
    <t>Kenneth</t>
  </si>
  <si>
    <t>Pek</t>
  </si>
  <si>
    <t>wang yuan fish soup</t>
  </si>
  <si>
    <t>bbqpzq@hotmail.com</t>
  </si>
  <si>
    <t>anna@emint.com</t>
  </si>
  <si>
    <t>Harto</t>
  </si>
  <si>
    <t>Java Kitchen</t>
  </si>
  <si>
    <t>james@indochili.com</t>
  </si>
  <si>
    <t>Harmon &amp; Co Pte Ltd</t>
  </si>
  <si>
    <t>darren.tan@frucesg.com</t>
  </si>
  <si>
    <t>Nehemiah</t>
  </si>
  <si>
    <t>Brew Pte Ltd</t>
  </si>
  <si>
    <t>nehemiah@brewsg.com</t>
  </si>
  <si>
    <t>Arjen</t>
  </si>
  <si>
    <t>Avolution</t>
  </si>
  <si>
    <t>arjen_wong@hotmail.com</t>
  </si>
  <si>
    <t>Jaslene</t>
  </si>
  <si>
    <t>Healthy Yums</t>
  </si>
  <si>
    <t>jas.lene7@gmail.com</t>
  </si>
  <si>
    <t>Celeine</t>
  </si>
  <si>
    <t>Bautista</t>
  </si>
  <si>
    <t>Jollibee Corporation</t>
  </si>
  <si>
    <t>celinesbautista@gmail.com</t>
  </si>
  <si>
    <t>Jonny</t>
  </si>
  <si>
    <t>Owens</t>
  </si>
  <si>
    <t>Black Swan SG</t>
  </si>
  <si>
    <t>jowens11@hotmail.co.uk</t>
  </si>
  <si>
    <t>Kris</t>
  </si>
  <si>
    <t>Cajun on Wheels Plaza Singapura</t>
  </si>
  <si>
    <t>kristantb@gmail.com</t>
  </si>
  <si>
    <t>Jo</t>
  </si>
  <si>
    <t>jo@yahoo.com</t>
  </si>
  <si>
    <t>Edison</t>
  </si>
  <si>
    <t>Ed</t>
  </si>
  <si>
    <t>edisonc@google.com</t>
  </si>
  <si>
    <t>Madeliene</t>
  </si>
  <si>
    <t>Harmony Hut International Food LLP</t>
  </si>
  <si>
    <t>madelienesjn@gmail.com</t>
  </si>
  <si>
    <t>Calido Asset</t>
  </si>
  <si>
    <t>fleex@hotmail.com</t>
  </si>
  <si>
    <t>Josephine</t>
  </si>
  <si>
    <t>Noble Restaurant</t>
  </si>
  <si>
    <t>josephinechew@oneness.com.sg</t>
  </si>
  <si>
    <t>SGE</t>
  </si>
  <si>
    <t>xavier@sgebiz.com</t>
  </si>
  <si>
    <t>Seth</t>
  </si>
  <si>
    <t>Red Hotpack</t>
  </si>
  <si>
    <t>redhotpacksg@gmail.com</t>
  </si>
  <si>
    <t>Kelly</t>
  </si>
  <si>
    <t>Pereria</t>
  </si>
  <si>
    <t xml:space="preserve">Kebabs Concepts </t>
  </si>
  <si>
    <t>kelly@geniecollective.sg</t>
  </si>
  <si>
    <t>Rafiq</t>
  </si>
  <si>
    <t>99 Food Bazaar</t>
  </si>
  <si>
    <t>rafiq@99foodbazaar.com</t>
  </si>
  <si>
    <t>Hok</t>
  </si>
  <si>
    <t xml:space="preserve">Igourmet </t>
  </si>
  <si>
    <t>hazelhok@yahoo.com.sg</t>
  </si>
  <si>
    <t>TRUE RB PTE LTD</t>
  </si>
  <si>
    <t>mythric@gmail.com</t>
  </si>
  <si>
    <t>Wright</t>
  </si>
  <si>
    <t>Bokuda LLP</t>
  </si>
  <si>
    <t xml:space="preserve">ctwong118@gmail.com
</t>
  </si>
  <si>
    <t>Vic</t>
  </si>
  <si>
    <t>NLH</t>
  </si>
  <si>
    <t xml:space="preserve">vicsomng@gmail.com
</t>
  </si>
  <si>
    <t>Francesco</t>
  </si>
  <si>
    <t>Vespetta italian restaurant</t>
  </si>
  <si>
    <t>vespettagastrobar@gmail.com</t>
  </si>
  <si>
    <t>Isabella</t>
  </si>
  <si>
    <t>Old Hong Kong Kitchen</t>
  </si>
  <si>
    <t>isabella@aretecollaborations.com</t>
  </si>
  <si>
    <t>Maanish</t>
  </si>
  <si>
    <t>Ballaji Bhaawan Vegetarian</t>
  </si>
  <si>
    <t>maanish101@gmail.com</t>
  </si>
  <si>
    <t>Ivan</t>
  </si>
  <si>
    <t>Derwish turkish restaurant</t>
  </si>
  <si>
    <t>ivanpragash@gmai.com</t>
  </si>
  <si>
    <t>Hakata Japanese Restaurant</t>
  </si>
  <si>
    <t>uminoie.hakata@gmail.com</t>
  </si>
  <si>
    <t>Suchana</t>
  </si>
  <si>
    <t>Jai Thai Restaurant</t>
  </si>
  <si>
    <t>suchana@jai-thai.com</t>
  </si>
  <si>
    <t>Nisar</t>
  </si>
  <si>
    <t>fayidharestaurant</t>
  </si>
  <si>
    <t>nisfayi@hotmail.com</t>
  </si>
  <si>
    <t>Sariratu Restaurant &amp; catering Pte ltd</t>
  </si>
  <si>
    <t>sariratu20@gmail.com</t>
  </si>
  <si>
    <t>Eddy Chan</t>
  </si>
  <si>
    <t>Selfie Coffee</t>
  </si>
  <si>
    <t>AvrilCafe@gmail.com</t>
  </si>
  <si>
    <t>Yen Lau</t>
  </si>
  <si>
    <t>Picnic</t>
  </si>
  <si>
    <t>yen@picnicsg.com</t>
  </si>
  <si>
    <t>Jowel</t>
  </si>
  <si>
    <t>O2 Cafe</t>
  </si>
  <si>
    <t>cucina17@yahoo.com.sg</t>
  </si>
  <si>
    <t>tan boon kiat</t>
  </si>
  <si>
    <t>coffee express 2000</t>
  </si>
  <si>
    <t>bqs1973@singnet.com.sg</t>
  </si>
  <si>
    <t>Surender Singh</t>
  </si>
  <si>
    <t>Tandoori Corner</t>
  </si>
  <si>
    <t>tandooricorner@singnet.com.sg</t>
  </si>
  <si>
    <t>namsoo</t>
  </si>
  <si>
    <t>Tomntoms coffee pte ltd</t>
  </si>
  <si>
    <t>singapore@tomntoms.com.sg</t>
  </si>
  <si>
    <t>86558645 / 98636434</t>
  </si>
  <si>
    <t>Lau Hieng Chung</t>
  </si>
  <si>
    <t>Oinks!</t>
  </si>
  <si>
    <t>saltmiddle@gmail.com</t>
  </si>
  <si>
    <t>Jimi</t>
  </si>
  <si>
    <t>Beaujolais Winebar</t>
  </si>
  <si>
    <t>operations@beaujolaissg.com</t>
  </si>
  <si>
    <t>Gourmet Pizza To Go</t>
  </si>
  <si>
    <t>joanne.lee.jiapei@gmail.com</t>
  </si>
  <si>
    <t>Liz Cho</t>
  </si>
  <si>
    <t>Urban Mix (Tanjong Pagar)</t>
  </si>
  <si>
    <t>liz.cho@vatossg.com</t>
  </si>
  <si>
    <t>yan</t>
  </si>
  <si>
    <t>shiu yakiniku</t>
  </si>
  <si>
    <t>shiuyakiniku@gmail.com</t>
  </si>
  <si>
    <t>Seng</t>
  </si>
  <si>
    <t>Tracy juice culture</t>
  </si>
  <si>
    <t>erisonseng93@hotmail.com</t>
  </si>
  <si>
    <t>Isabelle</t>
  </si>
  <si>
    <t>Jaxs Bistro</t>
  </si>
  <si>
    <t>isabelle@victusasia.com</t>
  </si>
  <si>
    <t>Food Barn</t>
  </si>
  <si>
    <t>amy.quek@gtk.com.sg</t>
  </si>
  <si>
    <t>Lai wah restaurant</t>
  </si>
  <si>
    <t>email@laiwahrestaurant.com</t>
  </si>
  <si>
    <t>Vanz</t>
  </si>
  <si>
    <t>Breadwerks</t>
  </si>
  <si>
    <t>vanz@breadwerks.sg</t>
  </si>
  <si>
    <t>Haslee</t>
  </si>
  <si>
    <t>The Wired Monkey SG</t>
  </si>
  <si>
    <t>askmonkey@outlook.com</t>
  </si>
  <si>
    <t>The whale tea Rivervale mall</t>
  </si>
  <si>
    <t>clement@thewhalettea.com.sg</t>
  </si>
  <si>
    <t>CHIPPY</t>
  </si>
  <si>
    <t>teojoanne.chippy@gmail.com</t>
  </si>
  <si>
    <t>Patrick Jonathan</t>
  </si>
  <si>
    <t>Mazzo Restaurant &amp; Bar</t>
  </si>
  <si>
    <t>patrickjonathanlopez.84@gmail.com</t>
  </si>
  <si>
    <t>Straits Chinese</t>
  </si>
  <si>
    <t>kevin@straitschinese.com</t>
  </si>
  <si>
    <t>Joey</t>
  </si>
  <si>
    <t>Skinny Cakes</t>
  </si>
  <si>
    <t>joeychiajielian@gmail.com</t>
  </si>
  <si>
    <t>Panagiotis</t>
  </si>
  <si>
    <t>Pano Kato Grill, Pizza &amp; Deli</t>
  </si>
  <si>
    <t>panagiotis@houseofanli.com</t>
  </si>
  <si>
    <t>Marcus choo</t>
  </si>
  <si>
    <t>Tha siam thai kitchen</t>
  </si>
  <si>
    <t>thasiam@hotmail.com</t>
  </si>
  <si>
    <t>Yan Xi Tang</t>
  </si>
  <si>
    <t>chong_0857@hotmail.com</t>
  </si>
  <si>
    <t>Edmund</t>
  </si>
  <si>
    <t>Naturecafe</t>
  </si>
  <si>
    <t>natureveg68@gmail.com</t>
  </si>
  <si>
    <t>SimplyAvo</t>
  </si>
  <si>
    <t>forestofgreen@outlook.com</t>
  </si>
  <si>
    <t>SHAMIANA Indian Restaurant</t>
  </si>
  <si>
    <t>shamiana5080@gmail.com</t>
  </si>
  <si>
    <t>MTR Singapore</t>
  </si>
  <si>
    <t>samanvay.sg@gmail.com</t>
  </si>
  <si>
    <t>JIA HE XING Dumplings</t>
  </si>
  <si>
    <t>jiahexing.sg@gmail.com</t>
  </si>
  <si>
    <t>Best Food Caterer</t>
  </si>
  <si>
    <t>sales@bestfoodcaterer.sg</t>
  </si>
  <si>
    <t>Trung Nguyen Coffee</t>
  </si>
  <si>
    <t>thinanguyen14.sg@gmail.com</t>
  </si>
  <si>
    <t>So good bakery</t>
  </si>
  <si>
    <t>jennifer@sogoodbakery.com</t>
  </si>
  <si>
    <t>Papitto Gelato</t>
  </si>
  <si>
    <t>gelato@papitto.com</t>
  </si>
  <si>
    <t>Gerry's Grill Restaurant &amp; Bar</t>
  </si>
  <si>
    <t>rkctang@gerrysgrill.com</t>
  </si>
  <si>
    <t>Zaithong Cafe</t>
  </si>
  <si>
    <t>zaithongcafe@gmail.com</t>
  </si>
  <si>
    <t>CHIPPY British Take Away</t>
  </si>
  <si>
    <t>brindas</t>
  </si>
  <si>
    <t>veera@brindas.com.sg</t>
  </si>
  <si>
    <t>Yamato Izakaya Pte Ltd</t>
  </si>
  <si>
    <t>dani@yamatoizakaya.com.sg</t>
  </si>
  <si>
    <t>Dunkin' Donuts</t>
  </si>
  <si>
    <t>Lagnaa Barefoot Dining</t>
  </si>
  <si>
    <t>kristabel.quek@gmail.com</t>
  </si>
  <si>
    <t>Bella Group</t>
  </si>
  <si>
    <t>tony@bellagroup.com.sg</t>
  </si>
  <si>
    <t>YMCA Singapore</t>
  </si>
  <si>
    <t>catherine.lee@mymca.org.sg&gt;</t>
  </si>
  <si>
    <t>Food Concepts Group Singapore PTE LTD</t>
  </si>
  <si>
    <t>Yams Kitchen</t>
  </si>
  <si>
    <t>karen@yamskitchen.com.sg</t>
  </si>
  <si>
    <t>Westin Singapore</t>
  </si>
  <si>
    <t>jenn.lee@westin.com</t>
  </si>
  <si>
    <t>One Man Coffee Shop</t>
  </si>
  <si>
    <t>Alistair@onemancoffee.com.sg</t>
  </si>
  <si>
    <t>Maneko SG</t>
  </si>
  <si>
    <t>Pentagon Group</t>
  </si>
  <si>
    <t>328 Katong Laksa</t>
  </si>
  <si>
    <t>jamesleeweijie@gmail.com</t>
  </si>
  <si>
    <t>Asian Food mall</t>
  </si>
  <si>
    <t>Blossom Singapore</t>
  </si>
  <si>
    <t>marketing@blossomrestaurant.com.sg</t>
  </si>
  <si>
    <t xml:space="preserve">Yamagawa Japanese Restaurant </t>
  </si>
  <si>
    <t>yamagawa@singnet.com.sg</t>
  </si>
  <si>
    <t>Wow Holdings</t>
  </si>
  <si>
    <t>jerry@wow-holdings.com</t>
  </si>
  <si>
    <t>Ice Edge Cafe</t>
  </si>
  <si>
    <t>JR Group</t>
  </si>
  <si>
    <t>bobbykwan@jrghk.com</t>
  </si>
  <si>
    <t xml:space="preserve">Peony Jade </t>
  </si>
  <si>
    <t>hanrobert@quaysidedining.com</t>
  </si>
  <si>
    <t xml:space="preserve">the Out.t Hotel </t>
  </si>
  <si>
    <t>8776 2114</t>
  </si>
  <si>
    <t>Venue by sebastian</t>
  </si>
  <si>
    <t>6904-9688.</t>
  </si>
  <si>
    <t xml:space="preserve">Imperial Treasure </t>
  </si>
  <si>
    <t>IGGYS</t>
  </si>
  <si>
    <t>Sedona Hotels</t>
  </si>
  <si>
    <t>https://www.sedonahotels.com.sg/</t>
  </si>
  <si>
    <t>JR GRoup</t>
  </si>
  <si>
    <t>Mums Kitchen</t>
  </si>
  <si>
    <t>.@mumskitchen.com.sg</t>
  </si>
  <si>
    <t>65 63460969</t>
  </si>
  <si>
    <t>Supporo Lion</t>
  </si>
  <si>
    <t>Langham Hotels</t>
  </si>
  <si>
    <t>eric.lo@langhamhotels.com</t>
  </si>
  <si>
    <t xml:space="preserve">108 Coffee </t>
  </si>
  <si>
    <t>yeewei.108coffee@gmail.com</t>
  </si>
  <si>
    <t>Daily Fresh</t>
  </si>
  <si>
    <t>yijie@dailyfreshsg.com</t>
  </si>
  <si>
    <t xml:space="preserve">Early Bird Cafe </t>
  </si>
  <si>
    <t>earlybirdcafesg@gmail.com</t>
  </si>
  <si>
    <t>Pontia Cland</t>
  </si>
  <si>
    <t>tang.leehui@pontiacland.com</t>
  </si>
  <si>
    <t>Kick Milk Tea</t>
  </si>
  <si>
    <t>hello@kickmilktea.com</t>
  </si>
  <si>
    <t>Happy Bowl</t>
  </si>
  <si>
    <t>Happybowlsg@gmail.com</t>
  </si>
  <si>
    <t>8375 3888</t>
  </si>
  <si>
    <t>School of Coffee</t>
  </si>
  <si>
    <t>zann@schoolofcoffee.com.sg</t>
  </si>
  <si>
    <t>Omote SG</t>
  </si>
  <si>
    <t>erin.foo@omote-sg.com</t>
  </si>
  <si>
    <t>NUSS</t>
  </si>
  <si>
    <t>richardc@nuss.org.sg</t>
  </si>
  <si>
    <t>65 90696069</t>
  </si>
  <si>
    <t>Miyako Japanese</t>
  </si>
  <si>
    <t>miyakojapanesecuisine@gmail.com</t>
  </si>
  <si>
    <t>Sun</t>
  </si>
  <si>
    <t xml:space="preserve">Self Restaurant </t>
  </si>
  <si>
    <t>syuhangcn@gmail.com</t>
  </si>
  <si>
    <t xml:space="preserve">1 Group </t>
  </si>
  <si>
    <t>Sweety</t>
  </si>
  <si>
    <t xml:space="preserve">sweety </t>
  </si>
  <si>
    <t>Shashank</t>
  </si>
  <si>
    <t>Veggie India</t>
  </si>
  <si>
    <t>shashank1995@gmail.com</t>
  </si>
  <si>
    <t>9088 0382</t>
  </si>
  <si>
    <t>Cucina Supplies</t>
  </si>
  <si>
    <t>Guan Hoe Soon Restaurant</t>
  </si>
  <si>
    <t>sales@guanhoesoon.com</t>
  </si>
  <si>
    <t>Deepthi</t>
  </si>
  <si>
    <t>dt@dishahotels.com</t>
  </si>
  <si>
    <t>Sherine</t>
  </si>
  <si>
    <t>Wu</t>
  </si>
  <si>
    <t>Grand Hyatt</t>
  </si>
  <si>
    <t>angebakesketo@gmail.com</t>
  </si>
  <si>
    <t xml:space="preserve">60 3 2182 1234  </t>
  </si>
  <si>
    <t xml:space="preserve">Sky Capital </t>
  </si>
  <si>
    <t>hello@pgfn.com.sg</t>
  </si>
  <si>
    <t xml:space="preserve">Puri Puri </t>
  </si>
  <si>
    <t xml:space="preserve">Wan He Lou </t>
  </si>
  <si>
    <t>vincentcheong@wanhelou.com</t>
  </si>
  <si>
    <t xml:space="preserve">Monkey King Thai </t>
  </si>
  <si>
    <t xml:space="preserve">Loving Panda 99 </t>
  </si>
  <si>
    <t>Asia Gourmet (Mak's Noodle &amp; Honolulu Cafe)</t>
  </si>
  <si>
    <t xml:space="preserve">Leopard holdings </t>
  </si>
  <si>
    <t>Metropolitian YMCA</t>
  </si>
  <si>
    <t>catherine.lee@mymca.org.sg</t>
  </si>
  <si>
    <t>68398316 62355528</t>
  </si>
  <si>
    <t>Resorts World Singapore</t>
  </si>
  <si>
    <t>irene.altan@rwsentosa.com</t>
  </si>
  <si>
    <t xml:space="preserve">Carlton Hotel </t>
  </si>
  <si>
    <t>Sebastian.Ong@carltonhotel.sg</t>
  </si>
  <si>
    <t xml:space="preserve">6338 8333  </t>
  </si>
  <si>
    <t>Not mentioned</t>
  </si>
  <si>
    <t>Rupert - 98290241</t>
  </si>
  <si>
    <t>Joseph</t>
  </si>
  <si>
    <t>Timika Cuisine</t>
  </si>
  <si>
    <t>manesha.ravi@yahoo.com.sg</t>
  </si>
  <si>
    <t>Thina</t>
  </si>
  <si>
    <t>Trung Nguyen</t>
  </si>
  <si>
    <t>nurfayidharestaurant pte ltd</t>
  </si>
  <si>
    <t>NAN Yee Mon Aung</t>
  </si>
  <si>
    <t>21 On Rajah</t>
  </si>
  <si>
    <t>nan.phillips@dayshotelsingapore.com</t>
  </si>
  <si>
    <t>IndoChili</t>
  </si>
  <si>
    <t>Lionel</t>
  </si>
  <si>
    <t>The Restaurant</t>
  </si>
  <si>
    <t>lionelgoh@spgg.org.sg</t>
  </si>
  <si>
    <t>Sandy</t>
  </si>
  <si>
    <t>sandy.yu@goldendonuts.com.sg</t>
  </si>
  <si>
    <t>Zac</t>
  </si>
  <si>
    <t>The Kettle Gourmet</t>
  </si>
  <si>
    <t>zac@thekettlegourmet.com</t>
  </si>
  <si>
    <t xml:space="preserve">- </t>
  </si>
  <si>
    <t>Lean Bento</t>
  </si>
  <si>
    <t>social@leanbento.com</t>
  </si>
  <si>
    <t>Philips</t>
  </si>
  <si>
    <t>Fayidha</t>
  </si>
  <si>
    <t>Nurfayidharestaurant pte ltd</t>
  </si>
  <si>
    <t>Indochilli</t>
  </si>
  <si>
    <t>Navin</t>
  </si>
  <si>
    <t>Singham</t>
  </si>
  <si>
    <t>Navinsingam@gmail.com</t>
  </si>
  <si>
    <t xml:space="preserve">9825 0065 </t>
  </si>
  <si>
    <t>Jamal</t>
  </si>
  <si>
    <t>SPGG</t>
  </si>
  <si>
    <t>jamal@spgg.org.sg</t>
  </si>
  <si>
    <t>Chi</t>
  </si>
  <si>
    <t xml:space="preserve">8ight Bar </t>
  </si>
  <si>
    <t>Tomo</t>
  </si>
  <si>
    <t>tomo.hori0720@gmail.com</t>
  </si>
  <si>
    <t>Chinese Standalone Restaurant</t>
  </si>
  <si>
    <t>Song</t>
  </si>
  <si>
    <t>email@laiwahrestaurant.com&gt;</t>
  </si>
  <si>
    <t>quevietnamese@gmail.com&gt;</t>
  </si>
  <si>
    <t>Macolta</t>
  </si>
  <si>
    <t>makiko@macolta.com</t>
  </si>
  <si>
    <t>kenn2chen@yahoo.com</t>
  </si>
  <si>
    <t>Sky Capital Pte Ltd</t>
  </si>
  <si>
    <t>Chantal Wong</t>
  </si>
  <si>
    <t>Ucha Lavender</t>
  </si>
  <si>
    <t>uchalavender@gmail.com</t>
  </si>
  <si>
    <t>Samuel</t>
  </si>
  <si>
    <t>Ow</t>
  </si>
  <si>
    <t>Golden Moments</t>
  </si>
  <si>
    <t>samuel@goldenmoments.sg</t>
  </si>
  <si>
    <t>Omakase</t>
  </si>
  <si>
    <t>Jeff</t>
  </si>
  <si>
    <t xml:space="preserve">Blue Jazz Cafe </t>
  </si>
  <si>
    <t>Ella</t>
  </si>
  <si>
    <t>Octapas Spanish Tapas Bar</t>
  </si>
  <si>
    <t>marketing@octapasasia.com</t>
  </si>
  <si>
    <t>kinrossllc@gmail.com</t>
  </si>
  <si>
    <t>Joel</t>
  </si>
  <si>
    <t xml:space="preserve">NI Group </t>
  </si>
  <si>
    <t>joel@njgroup.sg</t>
  </si>
  <si>
    <t xml:space="preserve">Kintsugi Pte Ltd </t>
  </si>
  <si>
    <t>dianatby@icloud.com</t>
  </si>
  <si>
    <t xml:space="preserve">The Whaletta </t>
  </si>
  <si>
    <t>Kas</t>
  </si>
  <si>
    <t xml:space="preserve">Sports ED </t>
  </si>
  <si>
    <t>kas@sportseducation.sg</t>
  </si>
  <si>
    <t>915 99 414</t>
  </si>
  <si>
    <t>Mustafa</t>
  </si>
  <si>
    <t>Turkish &amp; Curry/Spice Brands @ SG</t>
  </si>
  <si>
    <t>Stein</t>
  </si>
  <si>
    <t xml:space="preserve">Stein brew </t>
  </si>
  <si>
    <t>Dstein@steinbrewco.com</t>
  </si>
  <si>
    <t>Albert</t>
  </si>
  <si>
    <t>Wee Nam Kee Chicken Rice</t>
  </si>
  <si>
    <t>albert.tan@wnk.com.sg</t>
  </si>
  <si>
    <t>Curry Nations</t>
  </si>
  <si>
    <t>Dianna</t>
  </si>
  <si>
    <t>Morning Grind Pte Ltd</t>
  </si>
  <si>
    <t>pdianna08@gmail.com</t>
  </si>
  <si>
    <t>Rupert</t>
  </si>
  <si>
    <t>rupert_28@hotmail.com</t>
  </si>
  <si>
    <t>sugarcube</t>
  </si>
  <si>
    <t>liyingq96@gmail.com</t>
  </si>
  <si>
    <t>Melvin Ng</t>
  </si>
  <si>
    <t>Esarn Thai Corner</t>
  </si>
  <si>
    <t>vert</t>
  </si>
  <si>
    <t>Fulin bar&amp;kitchen</t>
  </si>
  <si>
    <t>vert2608@gmail.com</t>
  </si>
  <si>
    <t>Alfrede Chong</t>
  </si>
  <si>
    <t>Little Elephant SG Thai Bistro</t>
  </si>
  <si>
    <t>feedback@littleelephant.sg</t>
  </si>
  <si>
    <t>Hashim</t>
  </si>
  <si>
    <t>Padi@Bussorah</t>
  </si>
  <si>
    <t>hashim@padibussorah.com</t>
  </si>
  <si>
    <t>Sariratu</t>
  </si>
  <si>
    <t>Xueli</t>
  </si>
  <si>
    <t>Graviteabar</t>
  </si>
  <si>
    <t>graviteasg@gmail.com</t>
  </si>
  <si>
    <t>Jack Phua</t>
  </si>
  <si>
    <t>Ichiho Donburi and Sushi</t>
  </si>
  <si>
    <t>ichihofb@gmail.com</t>
  </si>
  <si>
    <t>Francis</t>
  </si>
  <si>
    <t>Motorino Pizzeria</t>
  </si>
  <si>
    <t>motorinosingapore@gmail.com</t>
  </si>
  <si>
    <t>Marcus</t>
  </si>
  <si>
    <t>Artichoke</t>
  </si>
  <si>
    <t>marcus@artichoke.com.sg</t>
  </si>
  <si>
    <t>Jezyl</t>
  </si>
  <si>
    <t>Cucina Restaurant &amp; Catering Pte Ltd</t>
  </si>
  <si>
    <t>Kristabel</t>
  </si>
  <si>
    <t>marketing.lagnaa@gmail.com</t>
  </si>
  <si>
    <t>Paul Teo</t>
  </si>
  <si>
    <t>1 Tyrwhitt Bistro Bar</t>
  </si>
  <si>
    <t>paul@hyperlink.com.sg</t>
  </si>
  <si>
    <t>Hongkyu</t>
  </si>
  <si>
    <t>Jangwon korean restaurant</t>
  </si>
  <si>
    <t>jangwon070@gmail.com</t>
  </si>
  <si>
    <t>Hao Lai Wu Steamboat &amp; BBQ</t>
  </si>
  <si>
    <t>Kent Wee</t>
  </si>
  <si>
    <t>Mr Baguette</t>
  </si>
  <si>
    <t>Mrbaguette.sg@gmail.com</t>
  </si>
  <si>
    <t>Lim Kok How</t>
  </si>
  <si>
    <t>SuperNgon Vietnamese Noodle Cafe</t>
  </si>
  <si>
    <t>super.ngon.sg@gmail.com</t>
  </si>
  <si>
    <t>Tiane</t>
  </si>
  <si>
    <t>Cosma Dining</t>
  </si>
  <si>
    <t>tiane_the@teetreeinvestments.com</t>
  </si>
  <si>
    <t>Dee Tongue Thai By Rung Mama</t>
  </si>
  <si>
    <t>wikichua09@gmail.com</t>
  </si>
  <si>
    <t xml:space="preserve">SIT Cafe </t>
  </si>
  <si>
    <t>lynnkwong@hotmail.com</t>
  </si>
  <si>
    <t>Neelendra</t>
  </si>
  <si>
    <t xml:space="preserve">Relish </t>
  </si>
  <si>
    <t>neelendra@njgroup.sg</t>
  </si>
  <si>
    <t>Prisca</t>
  </si>
  <si>
    <t xml:space="preserve">Social Space </t>
  </si>
  <si>
    <t>prisca@thesocialspace.co</t>
  </si>
  <si>
    <t>|   (+65) 6655 0221</t>
  </si>
  <si>
    <t>&lt;adriankohzw@gmail.com&gt;</t>
  </si>
  <si>
    <t>9876 3203</t>
  </si>
  <si>
    <t>QQ Rice</t>
  </si>
  <si>
    <r>
      <rPr>
        <sz val="9"/>
        <color rgb="FF000000"/>
        <rFont val="Calibri"/>
      </rPr>
      <t xml:space="preserve">M +65 9383 1302 | T +65 6515 9905 (Ext 888) I E </t>
    </r>
    <r>
      <rPr>
        <sz val="9"/>
        <color rgb="FF000000"/>
        <rFont val="Calibri"/>
      </rPr>
      <t>terence.tan@qqgroup.sg</t>
    </r>
  </si>
  <si>
    <t>M +65 9383 1302 | T +65 6515 9905 (Ext 888) I E terence.tan@qqgroup.sg</t>
  </si>
  <si>
    <t xml:space="preserve">请问怎么联系你们？我对你们的系统有兴趣。你们可以联系我。
92385663 Ken
</t>
  </si>
  <si>
    <t>sugarcube - Liying - 97240128 ( wants to know more on . web)</t>
  </si>
  <si>
    <t>The breaking Singapore</t>
  </si>
  <si>
    <t>admin@coffeebreaksingapore.com&gt;</t>
  </si>
  <si>
    <t>Ichigo</t>
  </si>
  <si>
    <t>Ichigo @ Aperia</t>
  </si>
  <si>
    <t>Lincoln</t>
  </si>
  <si>
    <t xml:space="preserve">Jiang Jan Seafood </t>
  </si>
  <si>
    <t>Jiang Nan Seafood - lincolnlzx@gmail.com</t>
  </si>
  <si>
    <t>The Royal Cafe</t>
  </si>
  <si>
    <t xml:space="preserve">The Coffee Symphony </t>
  </si>
  <si>
    <t>thecoffeesymphony@gmail.com</t>
  </si>
  <si>
    <t xml:space="preserve">Creation Cafe </t>
  </si>
  <si>
    <t>dcchen006@gmail.com</t>
  </si>
  <si>
    <t>Take Out Salad</t>
  </si>
  <si>
    <t>Aileen</t>
  </si>
  <si>
    <t>Tiong Bahru Tian Bo Shui Kueh</t>
  </si>
  <si>
    <t xml:space="preserve">Kitchen Language </t>
  </si>
  <si>
    <t>stanleyyap@live.com</t>
  </si>
  <si>
    <t>Fu Lin Bar</t>
  </si>
  <si>
    <t>Locus</t>
  </si>
  <si>
    <t>Locusham8@gmail.com</t>
  </si>
  <si>
    <t>Ohuong</t>
  </si>
  <si>
    <t xml:space="preserve">KNK Beef Noodle </t>
  </si>
  <si>
    <t>phuong.lien86@yahoo.com</t>
  </si>
  <si>
    <t>Nisha</t>
  </si>
  <si>
    <t xml:space="preserve">Gozen Central Kitchen </t>
  </si>
  <si>
    <t>nisha@kalms.com.sg</t>
  </si>
  <si>
    <t>Shunjuu Izakaya</t>
  </si>
  <si>
    <t>marketing@shunjuu.com</t>
  </si>
  <si>
    <t xml:space="preserve">Po Restaurant </t>
  </si>
  <si>
    <t>alvin.sivam@thewarehousehotel.com</t>
  </si>
  <si>
    <t>Menon</t>
  </si>
  <si>
    <t xml:space="preserve">Annalakshmi </t>
  </si>
  <si>
    <t>annagov@singnet.com.sg</t>
  </si>
  <si>
    <t xml:space="preserve">Beppu Menkan Restaurant </t>
  </si>
  <si>
    <t>beppu98@gmail.com</t>
  </si>
  <si>
    <t xml:space="preserve">Gerrys Grill </t>
  </si>
  <si>
    <t>hdlog65@gmail.com</t>
  </si>
  <si>
    <t>Pushpinder</t>
  </si>
  <si>
    <t xml:space="preserve">Celavi </t>
  </si>
  <si>
    <t>pushpinder.singh@celavi.com</t>
  </si>
  <si>
    <t>farisharhm@gmail.com</t>
  </si>
  <si>
    <t xml:space="preserve">Mian Jia Pte Ltd </t>
  </si>
  <si>
    <t>Mian_Jia@outlook.com</t>
  </si>
  <si>
    <t>9062 1841</t>
  </si>
  <si>
    <t>Weili</t>
  </si>
  <si>
    <t xml:space="preserve">Udders Ice Cream </t>
  </si>
  <si>
    <t xml:space="preserve">Lickers </t>
  </si>
  <si>
    <t xml:space="preserve">TB Tian Bo </t>
  </si>
  <si>
    <t>CS</t>
  </si>
  <si>
    <t xml:space="preserve">Hungry BBQ Pte Ltd </t>
  </si>
  <si>
    <t>help@hungrybbq.com</t>
  </si>
  <si>
    <t xml:space="preserve">W39 Bistro and Bakery </t>
  </si>
  <si>
    <t>beiyi.l@outlook.com</t>
  </si>
  <si>
    <t>Kalms Singapore</t>
  </si>
  <si>
    <t xml:space="preserve">Joe's Kitchen </t>
  </si>
  <si>
    <t>contact@joesthaikitchen.com</t>
  </si>
  <si>
    <t>Meatsmith SG</t>
  </si>
  <si>
    <t xml:space="preserve">Swotfish </t>
  </si>
  <si>
    <t>keith.kong@swotfish.com</t>
  </si>
  <si>
    <t>Bernard</t>
  </si>
  <si>
    <t xml:space="preserve">1 outlet </t>
  </si>
  <si>
    <t>Jay Lim Jit Giep</t>
  </si>
  <si>
    <t>Giep</t>
  </si>
  <si>
    <t xml:space="preserve">Asia Gourmet </t>
  </si>
  <si>
    <t>marketing@ag.sg</t>
  </si>
  <si>
    <t>6515 9888</t>
  </si>
  <si>
    <t>OSG bar Pte Ltd</t>
  </si>
  <si>
    <t>zach@osgbar.com</t>
  </si>
  <si>
    <t xml:space="preserve">Old Hong Kong Cafe </t>
  </si>
  <si>
    <t>victoria@oldhongkong.com.sg</t>
  </si>
  <si>
    <t>1701699@sit.singaporetech.edu.sg</t>
  </si>
  <si>
    <t xml:space="preserve">Creo Cafe </t>
  </si>
  <si>
    <t>creo.cafe@yahoo.com</t>
  </si>
  <si>
    <t>Wanton Noodle House</t>
  </si>
  <si>
    <t>cheriesjq96@hotmail.com</t>
  </si>
  <si>
    <t>Randy Indulgence</t>
  </si>
  <si>
    <t>sweet@randyindulgence.com</t>
  </si>
  <si>
    <t xml:space="preserve">Carry on Cafe </t>
  </si>
  <si>
    <t>roystengoh18@gmail.com</t>
  </si>
  <si>
    <t>8499 9931</t>
  </si>
  <si>
    <t xml:space="preserve">Hansfort </t>
  </si>
  <si>
    <t xml:space="preserve">Harrys International </t>
  </si>
  <si>
    <t>angela.tan@harrys.com.sg</t>
  </si>
  <si>
    <t xml:space="preserve">iDarts </t>
  </si>
  <si>
    <t>octhaviane@idarts.com.sg</t>
  </si>
  <si>
    <t xml:space="preserve">Beans Party </t>
  </si>
  <si>
    <t xml:space="preserve">Whiskit Bakery </t>
  </si>
  <si>
    <t>Brunos Pizza</t>
  </si>
  <si>
    <t xml:space="preserve">Coba Coba </t>
  </si>
  <si>
    <t xml:space="preserve">Quay Side Dining </t>
  </si>
  <si>
    <t>Gartshore</t>
  </si>
  <si>
    <t>Georges @ SG</t>
  </si>
  <si>
    <t xml:space="preserve">Kanemochi </t>
  </si>
  <si>
    <t xml:space="preserve">Shinnsato </t>
  </si>
  <si>
    <t xml:space="preserve">Officehorse and Groom </t>
  </si>
  <si>
    <t>stylez</t>
  </si>
  <si>
    <t xml:space="preserve">Viva Vox </t>
  </si>
  <si>
    <t xml:space="preserve">Pasta King </t>
  </si>
  <si>
    <t xml:space="preserve">Lemon and Herbs </t>
  </si>
  <si>
    <t xml:space="preserve">Chezcake Bistro </t>
  </si>
  <si>
    <t xml:space="preserve">Tea Villa Cafe </t>
  </si>
  <si>
    <t xml:space="preserve">Uya </t>
  </si>
  <si>
    <t xml:space="preserve">Debeer Garden </t>
  </si>
  <si>
    <t xml:space="preserve">Vinatoman </t>
  </si>
  <si>
    <t xml:space="preserve">Bollywood Dream </t>
  </si>
  <si>
    <t xml:space="preserve">Annete Ice Cream </t>
  </si>
  <si>
    <t>Cafe Standalone</t>
  </si>
  <si>
    <t xml:space="preserve">Carrara </t>
  </si>
  <si>
    <t xml:space="preserve">Heilogy </t>
  </si>
  <si>
    <t xml:space="preserve">Bhai Sarbat Cafe </t>
  </si>
  <si>
    <t xml:space="preserve">Chengs @ 27 </t>
  </si>
  <si>
    <t>Bistro One 36</t>
  </si>
  <si>
    <t>Nesuto Patissiere</t>
  </si>
  <si>
    <t xml:space="preserve">Smooy </t>
  </si>
  <si>
    <t xml:space="preserve">De Beer Garden </t>
  </si>
  <si>
    <t xml:space="preserve">IHG </t>
  </si>
  <si>
    <t xml:space="preserve">K Bar </t>
  </si>
  <si>
    <t xml:space="preserve">SG GO digital </t>
  </si>
  <si>
    <t>changhsienlee32@gmail.com</t>
  </si>
  <si>
    <t>Coffee Academics</t>
  </si>
  <si>
    <t>nicole.ng@the-coffeeacademics.com</t>
  </si>
  <si>
    <t>Edylyn</t>
  </si>
  <si>
    <t>Lolas Coffee</t>
  </si>
  <si>
    <t>edlyn@bettercraft.com.sg</t>
  </si>
  <si>
    <t>terence.tan@qqgroup.sg</t>
  </si>
  <si>
    <t>hazeeq.lee@gmail.com</t>
  </si>
  <si>
    <t>Coffee Please</t>
  </si>
  <si>
    <t>vp@good-coffeeplease.com</t>
  </si>
  <si>
    <t xml:space="preserve">Good Cheer 2 </t>
  </si>
  <si>
    <t>jasonseah@goodcheer2.com</t>
  </si>
  <si>
    <t>Kulad</t>
  </si>
  <si>
    <t>jackulas2@gmail.com</t>
  </si>
  <si>
    <t>Skinner</t>
  </si>
  <si>
    <t>eskinner1@babson.edu</t>
  </si>
  <si>
    <t>Shaon</t>
  </si>
  <si>
    <t>shaon2u@gmail.com</t>
  </si>
  <si>
    <t>roberusareku@yahoo.com.sg</t>
  </si>
  <si>
    <t>johnwebsolution8@gmail.com</t>
  </si>
  <si>
    <t>Manasa</t>
  </si>
  <si>
    <t>driffleskii@gmail.com</t>
  </si>
  <si>
    <t>Jessica</t>
  </si>
  <si>
    <t xml:space="preserve">Japanese Restaurant </t>
  </si>
  <si>
    <t xml:space="preserve">Dessert Bowl </t>
  </si>
  <si>
    <t>serene.ng@dessertbowl.com.sg</t>
  </si>
  <si>
    <t>Coffee Shops  @ SG</t>
  </si>
  <si>
    <t>Sean.yeam@gmail.com</t>
  </si>
  <si>
    <t xml:space="preserve">Epicure choice creations </t>
  </si>
  <si>
    <t>shareen.lee@epicurechoicecreation.com</t>
  </si>
  <si>
    <t xml:space="preserve">ANT group </t>
  </si>
  <si>
    <t>yukun.shi@antgroup.com</t>
  </si>
  <si>
    <t xml:space="preserve">65 96678686 </t>
  </si>
  <si>
    <t>Aderickchong@hotmail.com</t>
  </si>
  <si>
    <t>My Myca</t>
  </si>
  <si>
    <t xml:space="preserve">6839-8316 </t>
  </si>
  <si>
    <t>Jardines</t>
  </si>
  <si>
    <t>jentjahyadi@gmail.com</t>
  </si>
  <si>
    <t>Castel Pizza</t>
  </si>
  <si>
    <t>castelgrp@gmail.com</t>
  </si>
  <si>
    <t>92281818 (. message preferred)</t>
  </si>
  <si>
    <t xml:space="preserve">65 88786656 </t>
  </si>
  <si>
    <t>IDFC @ SG</t>
  </si>
  <si>
    <t>pankaj.thapa3007@gmail.com</t>
  </si>
  <si>
    <t>Sanearora</t>
  </si>
  <si>
    <t xml:space="preserve">Not mentined </t>
  </si>
  <si>
    <t>sandearora@hotmail.com</t>
  </si>
  <si>
    <t>Orgo Pte Ltd</t>
  </si>
  <si>
    <t>nick@orgo.sg</t>
  </si>
  <si>
    <t xml:space="preserve">Pezzo </t>
  </si>
  <si>
    <t>nini@pezzo.com.sg</t>
  </si>
  <si>
    <t xml:space="preserve">Alladins Briyani </t>
  </si>
  <si>
    <t>faayizali1@gmail.com</t>
  </si>
  <si>
    <t>cooksniper88@gmail.com</t>
  </si>
  <si>
    <t>xavier@cardup.co</t>
  </si>
  <si>
    <t>iamyoushang@gmail.com</t>
  </si>
  <si>
    <t>tantrestaurant@gmail.com</t>
  </si>
  <si>
    <t>keiji.h@gmail.com</t>
  </si>
  <si>
    <t>pontianpoint@yahoo.com.sg</t>
  </si>
  <si>
    <t>lydia@definitum.com</t>
  </si>
  <si>
    <t>eikouz@hotmail.com</t>
  </si>
  <si>
    <t>joyce@whiskystore.com.sg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</si>
  <si>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</si>
  <si>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</si>
  <si>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</si>
  <si>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</si>
  <si>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</si>
  <si>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letchumy@m-ramen.com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</si>
  <si>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</si>
  <si>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</si>
  <si>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</si>
  <si>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</si>
  <si>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</si>
  <si>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</si>
  <si>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admin@xand.biz</t>
  </si>
  <si>
    <t>goel123@hotmail.com</t>
  </si>
  <si>
    <t xml:space="preserve">Globotiz </t>
  </si>
  <si>
    <t>annie@globotix.sg</t>
  </si>
  <si>
    <t>97300 375</t>
  </si>
  <si>
    <t xml:space="preserve">Khek &amp; CO </t>
  </si>
  <si>
    <t>kheknco@gmail.com</t>
  </si>
  <si>
    <t>Hard Rock Cafe SG</t>
  </si>
  <si>
    <t>jon.tan@hardrockcafe-singapore.com</t>
  </si>
  <si>
    <t>Mae</t>
  </si>
  <si>
    <t xml:space="preserve">MM Shn BHD </t>
  </si>
  <si>
    <t>maewong_88@hotmail.com</t>
  </si>
  <si>
    <t xml:space="preserve">12 Slices Cafe </t>
  </si>
  <si>
    <t>twelveslicescafe@gmail.com</t>
  </si>
  <si>
    <t xml:space="preserve">The Book Cafe </t>
  </si>
  <si>
    <t>timothy@thebookcafe.com.sg</t>
  </si>
  <si>
    <t xml:space="preserve">MOF </t>
  </si>
  <si>
    <t>marketing@ministryoffood.com.sg</t>
  </si>
  <si>
    <t>Marc</t>
  </si>
  <si>
    <t xml:space="preserve">Awesome Coffee </t>
  </si>
  <si>
    <t>hello@awesomecoffee.sg</t>
  </si>
  <si>
    <t>65 81230027</t>
  </si>
  <si>
    <t>Junn</t>
  </si>
  <si>
    <t>Jiajunn90@hotmail.com</t>
  </si>
  <si>
    <t>Candra</t>
  </si>
  <si>
    <t>Vietsea</t>
  </si>
  <si>
    <t>dave.ker77@gmail.com</t>
  </si>
  <si>
    <t xml:space="preserve">Walaku </t>
  </si>
  <si>
    <t>SG</t>
  </si>
  <si>
    <t>walaku.sg@gmail.com</t>
  </si>
  <si>
    <t>Wine &amp; Chef @ SG-</t>
  </si>
  <si>
    <t xml:space="preserve">	valerie@sgwinecellar.com</t>
  </si>
  <si>
    <t xml:space="preserve">Fill a Pita </t>
  </si>
  <si>
    <t>brahim@fillapita.co</t>
  </si>
  <si>
    <t>Tian Wei Signature @ SG</t>
  </si>
  <si>
    <t>zhenyi@herloconsultancy.com</t>
  </si>
  <si>
    <t>89081070 (. call)</t>
  </si>
  <si>
    <t>JO</t>
  </si>
  <si>
    <t xml:space="preserve">F&amp;B </t>
  </si>
  <si>
    <t xml:space="preserve">Re: DRB Cat3 grant enquiries
</t>
  </si>
  <si>
    <t>eugeneho90@gmail.com</t>
  </si>
  <si>
    <t xml:space="preserve">Delivery holdings </t>
  </si>
  <si>
    <t>christina.t@deliveryholdings.com</t>
  </si>
  <si>
    <t xml:space="preserve">Rhizome Consultancy LLP
</t>
  </si>
  <si>
    <t xml:space="preserve">	sunil@rhizomesolutions.com</t>
  </si>
  <si>
    <t>Forage Express</t>
  </si>
  <si>
    <t xml:space="preserve">
lau.kangyang@13honey.sg</t>
  </si>
  <si>
    <t>Flash Coffee</t>
  </si>
  <si>
    <t xml:space="preserve">
arnau.onrubia@flash-coffee.com</t>
  </si>
  <si>
    <t>Far East Org @ SG-</t>
  </si>
  <si>
    <t>briangoh@fareast.com.sg</t>
  </si>
  <si>
    <t>L&amp;M EATING HOUSE@ SG-</t>
  </si>
  <si>
    <t xml:space="preserve">	papafood313@gmail.com</t>
  </si>
  <si>
    <t xml:space="preserve">Urban Bites </t>
  </si>
  <si>
    <t>christine khanashat &lt;christine@urbanbites.com.sg</t>
  </si>
  <si>
    <t>65 63279460</t>
  </si>
  <si>
    <t>Waffle Store @ SG-</t>
  </si>
  <si>
    <t xml:space="preserve">	tanrenyi@hotmail.com</t>
  </si>
  <si>
    <t>Naomi Kitchen Pte Ltd @ SG</t>
  </si>
  <si>
    <t>naomibakeshoppe@gmail.com</t>
  </si>
  <si>
    <t xml:space="preserve">Beercroft </t>
  </si>
  <si>
    <t>tb.beecroft@gmail.com</t>
  </si>
  <si>
    <t>endarmin_tan@yahoo.com</t>
  </si>
  <si>
    <t xml:space="preserve">	siddhant1005@gmail.com</t>
  </si>
  <si>
    <t>Lian Wee</t>
  </si>
  <si>
    <t>Big brand @ SG</t>
  </si>
  <si>
    <t>lw@bigbrand.sg</t>
  </si>
  <si>
    <t xml:space="preserve">N-Omega @ SG </t>
  </si>
  <si>
    <t xml:space="preserve">	elliot.j.sam@gmail.com</t>
  </si>
  <si>
    <t xml:space="preserve">CK Cuisine </t>
  </si>
  <si>
    <t xml:space="preserve">
ckcalvinkoh@gmail.com</t>
  </si>
  <si>
    <t>JYJ pte ltd.</t>
  </si>
  <si>
    <t>Happy Clover @ SG</t>
  </si>
  <si>
    <t xml:space="preserve">	Happycloverco@hotmail.com</t>
  </si>
  <si>
    <t>Sin Thor ( Eunos Mrt ) Bak Kut Teh</t>
  </si>
  <si>
    <t>donotan@yahoo.com</t>
  </si>
  <si>
    <t xml:space="preserve"> 9452 1713</t>
  </si>
  <si>
    <t>Tian Le Foods Pte Ltd @ SG</t>
  </si>
  <si>
    <t>126Eating House @ SG</t>
  </si>
  <si>
    <t xml:space="preserve">gohzhirong1993@gmail.com
</t>
  </si>
  <si>
    <t>Joy SM Pte Ltd,</t>
  </si>
  <si>
    <t>jerome.choo@data.t.com.sg</t>
  </si>
  <si>
    <t>Venessa</t>
  </si>
  <si>
    <t>Vouch SG -- (5-9Outlets)-</t>
  </si>
  <si>
    <t>venessa@vouch.sg</t>
  </si>
  <si>
    <t>TA ASIA F&amp;B</t>
  </si>
  <si>
    <t>TA ASIA F&amp;B PTE LTD</t>
  </si>
  <si>
    <t>8391 0777 Nancy</t>
  </si>
  <si>
    <t>Castel Group Pte Ltd</t>
  </si>
  <si>
    <t>&lt;castelgrp@gmail.com&gt;</t>
  </si>
  <si>
    <t xml:space="preserve">marketing@ag.sg
</t>
  </si>
  <si>
    <t>9367 2351</t>
  </si>
  <si>
    <t>Old Street Bak Kut Teh Pte Ltd</t>
  </si>
  <si>
    <t xml:space="preserve">limkuanyiou@oldstreet.com.sg
</t>
  </si>
  <si>
    <t xml:space="preserve">Truck Bar and Bistro </t>
  </si>
  <si>
    <t xml:space="preserve">. (+65 88289892 - Mr. Raj) </t>
  </si>
  <si>
    <t>amara Sanctuary Resort Sentosa</t>
  </si>
  <si>
    <t xml:space="preserve">nair.keshavan@amarasanctuary.com
</t>
  </si>
  <si>
    <t>Tea Dough @ SG</t>
  </si>
  <si>
    <t>eadoughsg@gmail.com&gt;</t>
  </si>
  <si>
    <t xml:space="preserve">Bistro Bowl </t>
  </si>
  <si>
    <t>pauline@appetizer.com.sg</t>
  </si>
  <si>
    <t>Yakizen Pte Ltd</t>
  </si>
  <si>
    <t>dianechiang@hotmail.com</t>
  </si>
  <si>
    <t>Soya Milk</t>
  </si>
  <si>
    <t>babymanta@icloud.com</t>
  </si>
  <si>
    <t>bigbossedmund@gmail.com</t>
  </si>
  <si>
    <t xml:space="preserve">Ratana Thai Restaurant </t>
  </si>
  <si>
    <t>Info@rattanathairestaurant.com.sg</t>
  </si>
  <si>
    <t>9797-0230</t>
  </si>
  <si>
    <t xml:space="preserve">1887 Dining Pte Ltd </t>
  </si>
  <si>
    <t xml:space="preserve">Warm BBQ </t>
  </si>
  <si>
    <t>shengqian.eg@gmail.com</t>
  </si>
  <si>
    <t xml:space="preserve">Acai Acoy </t>
  </si>
  <si>
    <t>Swee Choon</t>
  </si>
  <si>
    <t xml:space="preserve">Kapika Pte Ltd </t>
  </si>
  <si>
    <t>Daniela La Marca</t>
  </si>
  <si>
    <t>La Marca International</t>
  </si>
  <si>
    <t>ang chong ngan</t>
  </si>
  <si>
    <t xml:space="preserve">Myo Resto Bar </t>
  </si>
  <si>
    <t>angchongngan@gmail.com</t>
  </si>
  <si>
    <t>Anthony Ting</t>
  </si>
  <si>
    <t>Ponggol Seafood Holdings Pte Ltd</t>
  </si>
  <si>
    <t>info@ponggolseafood.com.sg</t>
  </si>
  <si>
    <t>Jia He Xing Pte Ltd</t>
  </si>
  <si>
    <t>Stanley Leeansyah</t>
  </si>
  <si>
    <t>Adoralezat</t>
  </si>
  <si>
    <t>leeansyah.stan@gmail.com</t>
  </si>
  <si>
    <t>BETTY HENG</t>
  </si>
  <si>
    <t>BL CORPORATE SERVICES PTE LIMITED</t>
  </si>
  <si>
    <t>BETTY@BLCS.COM.SG</t>
  </si>
  <si>
    <t>Peter Tan</t>
  </si>
  <si>
    <t>Monster Curry</t>
  </si>
  <si>
    <t>peter@monstercurry.com.sg</t>
  </si>
  <si>
    <t>Elisha</t>
  </si>
  <si>
    <t>sejvyip@gmail.com</t>
  </si>
  <si>
    <t>TINA TAN</t>
  </si>
  <si>
    <t>Acer Best Projects Pte Ltd</t>
  </si>
  <si>
    <t>acerbest1995@gmail.com</t>
  </si>
  <si>
    <t>Tardigrade Pte Ltd</t>
  </si>
  <si>
    <t>tardigrade8as@gmail.com</t>
  </si>
  <si>
    <t>Sakuwan bin Jumangin</t>
  </si>
  <si>
    <t>Nur indah Kitchen</t>
  </si>
  <si>
    <t>roziwan@gmail.com</t>
  </si>
  <si>
    <t>Marc Ng</t>
  </si>
  <si>
    <t>Sashing Bugis Village Pte. Ltd.</t>
  </si>
  <si>
    <t>hello@nauticalgrowth.com</t>
  </si>
  <si>
    <t>Charlene Heng</t>
  </si>
  <si>
    <t>The Naughty Chef Pte Ltd</t>
  </si>
  <si>
    <t>thenaughtychef99@gmail.com</t>
  </si>
  <si>
    <t>Noorul Ameen</t>
  </si>
  <si>
    <t>United Euro Beverages Global Pte Ltd</t>
  </si>
  <si>
    <t>info.unitedeurobeverages@gmail.com</t>
  </si>
  <si>
    <t>Sherly Foo Chuen Eng</t>
  </si>
  <si>
    <t>Data.t</t>
  </si>
  <si>
    <t>sherly.foo@data.t.com.sg</t>
  </si>
  <si>
    <t>Govindasamy jayabalan</t>
  </si>
  <si>
    <t>RESTAURANT jaya agd Sdn bhd</t>
  </si>
  <si>
    <t>jsuresh1212@gmail.com</t>
  </si>
  <si>
    <t>Guan Lee Yann Judith</t>
  </si>
  <si>
    <t>Joy SM Pte Ltd</t>
  </si>
  <si>
    <t>joysmpl@gmail.com</t>
  </si>
  <si>
    <t>Beatrice Yap</t>
  </si>
  <si>
    <t>Dear Collective Pte Ltd</t>
  </si>
  <si>
    <t>hello@dearcollective.com</t>
  </si>
  <si>
    <t>Chua Yong Heng</t>
  </si>
  <si>
    <t>Good Chance Popiah Eating House</t>
  </si>
  <si>
    <t>heng@goodchancepopiah.com.sg</t>
  </si>
  <si>
    <t>Zames Chua Feike</t>
  </si>
  <si>
    <t>zames.chua@gmail.com</t>
  </si>
  <si>
    <t>Sandy Heng</t>
  </si>
  <si>
    <t>Jia Jia Le Cuisine F&amp;B Pte Ltd</t>
  </si>
  <si>
    <t>sandy@honghuaholdings.com.sg</t>
  </si>
  <si>
    <t>KH Koh</t>
  </si>
  <si>
    <t>Highnix Pte Ltd</t>
  </si>
  <si>
    <t>khkoh@highnix.com</t>
  </si>
  <si>
    <t>Hao Lai Wu BBQ</t>
  </si>
  <si>
    <t>Shaun Jarmen</t>
  </si>
  <si>
    <t>Straits Interactive</t>
  </si>
  <si>
    <t>shaun@straitsinteractive.com</t>
  </si>
  <si>
    <t>Jessica Tan Ai Lin</t>
  </si>
  <si>
    <t>Nifty Grill</t>
  </si>
  <si>
    <t>jtan1_jessica@yahoo.com.sg</t>
  </si>
  <si>
    <t>MAH MUN KHONG</t>
  </si>
  <si>
    <t>The Bakery Depot Pte Ltd</t>
  </si>
  <si>
    <t>allanmah@bakdepot.com</t>
  </si>
  <si>
    <t>Bryan Zhao</t>
  </si>
  <si>
    <t>Harvest Accounting Pte. Ltd.</t>
  </si>
  <si>
    <t>bryan@harvestaccounting.com.sg</t>
  </si>
  <si>
    <t>teresa joseph</t>
  </si>
  <si>
    <t>THE SONG OF INDIA PTE. LTD.</t>
  </si>
  <si>
    <t>terese@songofindia.com.sg</t>
  </si>
  <si>
    <t>Roger</t>
  </si>
  <si>
    <t>Kingdine Holdings</t>
  </si>
  <si>
    <t>roger@ancompass.com</t>
  </si>
  <si>
    <t>Dawn</t>
  </si>
  <si>
    <t>Rattana Thai Restaurant</t>
  </si>
  <si>
    <t>dawn@rattanathairestaurant.com.sg</t>
  </si>
  <si>
    <t>Kathleen Koh</t>
  </si>
  <si>
    <t xml:space="preserve">Soi 55 </t>
  </si>
  <si>
    <t>soififtyfive@gmail.com</t>
  </si>
  <si>
    <t>myo restrobar</t>
  </si>
  <si>
    <t>Tang Ren Jie Chuan Chuan Pte Lts</t>
  </si>
  <si>
    <t>tangrenjie.foodzaps@gmail.com</t>
  </si>
  <si>
    <t>Melvin ong</t>
  </si>
  <si>
    <t>foptics</t>
  </si>
  <si>
    <t>melvin@foptics.club</t>
  </si>
  <si>
    <t>Basir Amir</t>
  </si>
  <si>
    <t>prata alley</t>
  </si>
  <si>
    <t>basiramiraa@gmail.com</t>
  </si>
  <si>
    <t>gabriel kek meng chuan</t>
  </si>
  <si>
    <t>JAD Holdings</t>
  </si>
  <si>
    <t>gabriel@jadholdings.asia</t>
  </si>
  <si>
    <t>Hazel Hok</t>
  </si>
  <si>
    <t>H.I.M. Holdings Pte Ltd</t>
  </si>
  <si>
    <t>Kim Tan</t>
  </si>
  <si>
    <t>Multifood Supply</t>
  </si>
  <si>
    <t>op.multifood@gmail.com</t>
  </si>
  <si>
    <t>Tan Jue Ni</t>
  </si>
  <si>
    <t>Stamfles International Pte Ltd</t>
  </si>
  <si>
    <t>jueni@stamfles.com</t>
  </si>
  <si>
    <t>HAN BIAO</t>
  </si>
  <si>
    <t>SHAN DONG XIAO CHU PTE.LTD.</t>
  </si>
  <si>
    <t>848650010@qq.com</t>
  </si>
  <si>
    <t>Tan Wei Kang</t>
  </si>
  <si>
    <t>Pontian Square Pte Ltd</t>
  </si>
  <si>
    <t>Chris Chong</t>
  </si>
  <si>
    <t>Bee's Cake Pte Ltd</t>
  </si>
  <si>
    <t>bee@bees-cake.com</t>
  </si>
  <si>
    <t>Khor Zhen Yi</t>
  </si>
  <si>
    <t>Tian Wei Signature Pte Ltd</t>
  </si>
  <si>
    <t>Jenny Law</t>
  </si>
  <si>
    <t>Mr.Piglet</t>
  </si>
  <si>
    <t>Lim Jia Ling</t>
  </si>
  <si>
    <t>Black Fairy Coffee</t>
  </si>
  <si>
    <t>jialing@blackfairycoffee.com</t>
  </si>
  <si>
    <t>jiang Geng</t>
  </si>
  <si>
    <t>ganen equity</t>
  </si>
  <si>
    <t>gengfanbianwo@gmail.com</t>
  </si>
  <si>
    <t>Vani Patro</t>
  </si>
  <si>
    <t>Kinara</t>
  </si>
  <si>
    <t>vpatro1@babson.edu</t>
  </si>
  <si>
    <t>12BUY.SG</t>
  </si>
  <si>
    <t>joseph@12BUY.sg</t>
  </si>
  <si>
    <t xml:space="preserve">High Tide &amp; Bistro bar </t>
  </si>
  <si>
    <t>Manjit kaur</t>
  </si>
  <si>
    <t>Moghul mahal restaurant Pte Ltd</t>
  </si>
  <si>
    <t>moghulmahal@hotmail.com</t>
  </si>
  <si>
    <t>huiching chAN</t>
  </si>
  <si>
    <t>SG-11 HOLDINGS PTE LTD</t>
  </si>
  <si>
    <t>hc.shiyi@gmail.com</t>
  </si>
  <si>
    <t>Amos Wong</t>
  </si>
  <si>
    <t>PizzaFace Pte Ltd</t>
  </si>
  <si>
    <t>amos@pizzaface.sg</t>
  </si>
  <si>
    <t>Zach Seah</t>
  </si>
  <si>
    <t>Omnicakes</t>
  </si>
  <si>
    <t>omnizach@hotmail.com</t>
  </si>
  <si>
    <t>Jason Siew</t>
  </si>
  <si>
    <t>Phinâ€™s Steakhouse</t>
  </si>
  <si>
    <t>siew.jason@hotmail.com</t>
  </si>
  <si>
    <t>Patros group</t>
  </si>
  <si>
    <t>Winnie Ong</t>
  </si>
  <si>
    <t>Craft &amp; Culture Pte Ltd</t>
  </si>
  <si>
    <t>craftculturesg@gmail.com</t>
  </si>
  <si>
    <t>Soh Pay Koon</t>
  </si>
  <si>
    <t>OTA MARKETING PTE LTD</t>
  </si>
  <si>
    <t>jj_2w@hotmail.com</t>
  </si>
  <si>
    <t>Revo . SG</t>
  </si>
  <si>
    <t>lawrence@appzinc.biz</t>
  </si>
  <si>
    <t xml:space="preserve">J Capital Plus Pte Ltd </t>
  </si>
  <si>
    <t xml:space="preserve">james.tay@jpluscapital.com&gt; </t>
  </si>
  <si>
    <t>65 9062 5697</t>
  </si>
  <si>
    <t>Ola Beach Club @ SG</t>
  </si>
  <si>
    <t>fion@olabeachclub.com</t>
  </si>
  <si>
    <t>CMY Food Industries Pte Ltd</t>
  </si>
  <si>
    <t xml:space="preserve">eileenchua.93@gmail.com
</t>
  </si>
  <si>
    <t xml:space="preserve">The Mossy Cafe </t>
  </si>
  <si>
    <t>manager@themossy.com</t>
  </si>
  <si>
    <t xml:space="preserve">The Goodburger </t>
  </si>
  <si>
    <t xml:space="preserve">Email:
ken@thegoodburger.sg
</t>
  </si>
  <si>
    <t>Stamfles Group Holdings Pte Ltd</t>
  </si>
  <si>
    <t>9233 5336</t>
  </si>
  <si>
    <t>OMS</t>
  </si>
  <si>
    <t>OH MA SPOON PTE LTD</t>
  </si>
  <si>
    <t>oms.joyce313@gmail.com</t>
  </si>
  <si>
    <t>SOLOMO TECHNOLOGIES PTE LTD</t>
  </si>
  <si>
    <t>pingfaninsg@gmail.com</t>
  </si>
  <si>
    <t xml:space="preserve">Chengs 27 </t>
  </si>
  <si>
    <t>glenn@chengs27.com</t>
  </si>
  <si>
    <t xml:space="preserve">Coffee Standalone </t>
  </si>
  <si>
    <t>sgdoorstep@gmail.com</t>
  </si>
  <si>
    <t>Eric yi Peng</t>
  </si>
  <si>
    <t>The Laksa Leaf</t>
  </si>
  <si>
    <t>yiping.ong99@gmail.com</t>
  </si>
  <si>
    <t>Bob</t>
  </si>
  <si>
    <t xml:space="preserve">Blanco Prawn Noodle </t>
  </si>
  <si>
    <t>ljs.ntu@hotmail.com</t>
  </si>
  <si>
    <t>Lok</t>
  </si>
  <si>
    <t xml:space="preserve">APBS </t>
  </si>
  <si>
    <t>eunice.lok@apb.com.sg</t>
  </si>
  <si>
    <t xml:space="preserve">My Kiroi Cheese Cake </t>
  </si>
  <si>
    <t>donald9845@gmail.com</t>
  </si>
  <si>
    <t xml:space="preserve">Dining Innovation </t>
  </si>
  <si>
    <t>desireechan@dinsg.com</t>
  </si>
  <si>
    <t>NASH</t>
  </si>
  <si>
    <t>nashsong@nash.com</t>
  </si>
  <si>
    <t xml:space="preserve">Brawn and Brains </t>
  </si>
  <si>
    <t>brawnbrainsco@gmail.com</t>
  </si>
  <si>
    <t xml:space="preserve">An An Roast </t>
  </si>
  <si>
    <t>ananroast@gmail.com</t>
  </si>
  <si>
    <t xml:space="preserve">Wine Hours </t>
  </si>
  <si>
    <t>jenny@winehours.com</t>
  </si>
  <si>
    <t>shah</t>
  </si>
  <si>
    <t xml:space="preserve">Tab Tab </t>
  </si>
  <si>
    <t>shah.aman106@gmail.com</t>
  </si>
  <si>
    <t xml:space="preserve">celinesim8@hotmail.com
</t>
  </si>
  <si>
    <t xml:space="preserve">Clover Food Lab </t>
  </si>
  <si>
    <t>cloverfood88@gmail.com</t>
  </si>
  <si>
    <t>Necessary Provisions Baker &amp; Cook-</t>
  </si>
  <si>
    <t>darren@necessaryprovisions.com.sg</t>
  </si>
  <si>
    <t xml:space="preserve">Rojak Line </t>
  </si>
  <si>
    <t>Squisito Italian</t>
  </si>
  <si>
    <t>Deep.prajapati125@gmail.com</t>
  </si>
  <si>
    <t xml:space="preserve">Cafe Tempo House 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</si>
  <si>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</si>
  <si>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</si>
  <si>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</si>
  <si>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</si>
  <si>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</si>
  <si>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</si>
  <si>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</si>
  <si>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</si>
  <si>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>burgerfrites.sg@gmail.com</t>
  </si>
  <si>
    <t xml:space="preserve">Pazzion Cafe </t>
  </si>
  <si>
    <t xml:space="preserve">na </t>
  </si>
  <si>
    <t>Braseiro Restaurant</t>
  </si>
  <si>
    <t xml:space="preserve">Happy Lamb </t>
  </si>
  <si>
    <t>rolandong.biz@gmail.com</t>
  </si>
  <si>
    <t xml:space="preserve">Eatz Catering Services </t>
  </si>
  <si>
    <t>aberdeen@eatzcatering.com</t>
  </si>
  <si>
    <t>6442-0928</t>
  </si>
  <si>
    <t>Tricahya</t>
  </si>
  <si>
    <t>andrie@tricahya.co.id</t>
  </si>
  <si>
    <t xml:space="preserve">Tenkaichi Restaurant </t>
  </si>
  <si>
    <t xml:space="preserve">IKKI Izakaya </t>
  </si>
  <si>
    <t xml:space="preserve">Mays Cafe </t>
  </si>
  <si>
    <t>Word events food catering</t>
  </si>
  <si>
    <t>shereen@wordeventscatering.com</t>
  </si>
  <si>
    <t xml:space="preserve">JHPK Cafe </t>
  </si>
  <si>
    <t>jhpk.sg@gmail.com</t>
  </si>
  <si>
    <t xml:space="preserve">Straits Clan Social Club </t>
  </si>
  <si>
    <t>minali_oommen@straitsclan.com</t>
  </si>
  <si>
    <t xml:space="preserve">Chinese Standalone </t>
  </si>
  <si>
    <t>Anders</t>
  </si>
  <si>
    <t>HECS @ SG</t>
  </si>
  <si>
    <t>anders.tay@hecs.com.sg</t>
  </si>
  <si>
    <t>Forbidden Tea</t>
  </si>
  <si>
    <t>wokinthepark21@gmail.com&gt;</t>
  </si>
  <si>
    <t xml:space="preserve">MAOTEA PTE. LTD Bubble Tea store </t>
  </si>
  <si>
    <t>maoteasg@gmail.com</t>
  </si>
  <si>
    <t>Guoshun</t>
  </si>
  <si>
    <t xml:space="preserve">Kevin Khoo </t>
  </si>
  <si>
    <t>elliot@chia.com.sg&gt;</t>
  </si>
  <si>
    <t xml:space="preserve">65 8223 0027 </t>
  </si>
  <si>
    <t>Korean Fusion BBQ</t>
  </si>
  <si>
    <t>cv.kfbbq@gmail.com</t>
  </si>
  <si>
    <t xml:space="preserve">La Mensa </t>
  </si>
  <si>
    <t>it@teyst.sg</t>
  </si>
  <si>
    <t xml:space="preserve">Qi Xiang pte ltd </t>
  </si>
  <si>
    <t>zenithneo@gmail.com</t>
  </si>
  <si>
    <t>Fonseca</t>
  </si>
  <si>
    <t xml:space="preserve">Seoul Garden Group </t>
  </si>
  <si>
    <t>chris@seoulgardengroup.com</t>
  </si>
  <si>
    <t>FNB</t>
  </si>
  <si>
    <t>Singapore Recreation Club --</t>
  </si>
  <si>
    <t>joyce.fnb@src.org.sg</t>
  </si>
  <si>
    <t>a.pini@braseiro-sg.com</t>
  </si>
  <si>
    <t xml:space="preserve">Bollywood Dreams </t>
  </si>
  <si>
    <t>bollywooddrm@gmail.com</t>
  </si>
  <si>
    <t xml:space="preserve">Si Chuan Dou Hua Restaurant </t>
  </si>
  <si>
    <t xml:space="preserve">The Naked Belly </t>
  </si>
  <si>
    <t>jianbo.sixthavenue@gmail.com</t>
  </si>
  <si>
    <t>chinisnot@gmail.com</t>
  </si>
  <si>
    <t xml:space="preserve">Lucky Cup </t>
  </si>
  <si>
    <t>raymond@luckycupsg.com</t>
  </si>
  <si>
    <t xml:space="preserve">Days Hotel </t>
  </si>
  <si>
    <t xml:space="preserve">Yellow Pot </t>
  </si>
  <si>
    <t>Binu halimllp Cafe_3-4 Outlets</t>
  </si>
  <si>
    <t>binuhalim@gmail.com</t>
  </si>
  <si>
    <t>Jin</t>
  </si>
  <si>
    <t xml:space="preserve">Each a Cup </t>
  </si>
  <si>
    <t>Sandwich Saigon @ Singapore--I</t>
  </si>
  <si>
    <t>sandwichsaigon@gmail.com</t>
  </si>
  <si>
    <t>HOHO Bar</t>
  </si>
  <si>
    <t>Accor Hotels @ Singapore -- In</t>
  </si>
  <si>
    <t>yuanshan.neo@accor.com</t>
  </si>
  <si>
    <t xml:space="preserve">Epi Kebabs </t>
  </si>
  <si>
    <t>HK Nanyang Pte Ltd</t>
  </si>
  <si>
    <t>winnie.cheong@homekitchen.com.sg</t>
  </si>
  <si>
    <t xml:space="preserve">Novotel Singapore </t>
  </si>
  <si>
    <t xml:space="preserve">Rice House Veg </t>
  </si>
  <si>
    <t>ricehouse_veg@yahoo.com.sg</t>
  </si>
  <si>
    <t xml:space="preserve">United Euro Beverages Global Pte Ltd </t>
  </si>
  <si>
    <t>luke_elia101@hotmail.com</t>
  </si>
  <si>
    <t xml:space="preserve">InterContinental Singapore Robertson Quay </t>
  </si>
  <si>
    <t>ankit.airon@ihg.com</t>
  </si>
  <si>
    <t>65 6826 5005</t>
  </si>
  <si>
    <t xml:space="preserve">Code Green Cafe </t>
  </si>
  <si>
    <t>info@codegreensg.com</t>
  </si>
  <si>
    <t>ChefAnup</t>
  </si>
  <si>
    <t>Anup</t>
  </si>
  <si>
    <t>chefanup@ymail.com</t>
  </si>
  <si>
    <t>Miso Salmon</t>
  </si>
  <si>
    <t>misosalmon1319@gmail.com</t>
  </si>
  <si>
    <t>Seed and Virtue</t>
  </si>
  <si>
    <t>reginatjj@gmail.com</t>
  </si>
  <si>
    <t>Los Jefes Tacos @ Singapore-</t>
  </si>
  <si>
    <t>info@losjefestacos.com</t>
  </si>
  <si>
    <t xml:space="preserve">Toridoll </t>
  </si>
  <si>
    <t>kathy@trdhy.com</t>
  </si>
  <si>
    <t>Shao SG</t>
  </si>
  <si>
    <t>info@shao.sg</t>
  </si>
  <si>
    <t>Standalone Indian F&amp;B</t>
  </si>
  <si>
    <t>Liaw</t>
  </si>
  <si>
    <t>Uminoie Nihon Ryori</t>
  </si>
  <si>
    <t>Food stall selling Mookata</t>
  </si>
  <si>
    <t>silun1314@gmail.com</t>
  </si>
  <si>
    <t xml:space="preserve">Ichigawa Japanese </t>
  </si>
  <si>
    <t>ikushiya@gmail.com</t>
  </si>
  <si>
    <t>Kushiya Japanese Grill House</t>
  </si>
  <si>
    <t xml:space="preserve">Standalone Restuarant </t>
  </si>
  <si>
    <t>Vinn</t>
  </si>
  <si>
    <t>MASSIVE FOODS Pte Ltd--@ Sin</t>
  </si>
  <si>
    <t>massivefoods.sg@gmail.com</t>
  </si>
  <si>
    <t xml:space="preserve">Engwah </t>
  </si>
  <si>
    <t>simcatherine@engwah.com.sg</t>
  </si>
  <si>
    <t>-6734 0028</t>
  </si>
  <si>
    <t>Caroll</t>
  </si>
  <si>
    <t>Honey Moley Golf Club (BAR/PUB) In</t>
  </si>
  <si>
    <t>jcarroll@holeymoley.com.sg</t>
  </si>
  <si>
    <t>JasminePurama @ Singapore</t>
  </si>
  <si>
    <t>jasminepurnamasg@gmail.com</t>
  </si>
  <si>
    <t>jumali.sayuti@gmail.com</t>
  </si>
  <si>
    <t xml:space="preserve">Jollibee </t>
  </si>
  <si>
    <t>amy.serapio@jollibeesingapore.com</t>
  </si>
  <si>
    <t xml:space="preserve">Play Entertainment </t>
  </si>
  <si>
    <t>jon@playtertainment.com</t>
  </si>
  <si>
    <t>Khather</t>
  </si>
  <si>
    <t>ibrahim@fillapita.co</t>
  </si>
  <si>
    <t xml:space="preserve">Altitude Holdings </t>
  </si>
  <si>
    <t>ron.koh@altitudeholdings.com.sg</t>
  </si>
  <si>
    <t>9107 8513</t>
  </si>
  <si>
    <t>Alex</t>
  </si>
  <si>
    <t>standalone F&amp;B</t>
  </si>
  <si>
    <t>alexchansuanyang@gmail.com</t>
  </si>
  <si>
    <t xml:space="preserve">Jiak by Jin feng </t>
  </si>
  <si>
    <t xml:space="preserve">Seoul Zip </t>
  </si>
  <si>
    <t>contact@taskup.sg</t>
  </si>
  <si>
    <t xml:space="preserve">Media Mix </t>
  </si>
  <si>
    <t>Chris.tan@mediamix.sg</t>
  </si>
  <si>
    <t>Lui</t>
  </si>
  <si>
    <t>Pasta e Formaggio Pte Ltd</t>
  </si>
  <si>
    <t>jacquelineluiyc@gmail.com</t>
  </si>
  <si>
    <t xml:space="preserve">Dum Dum Thai Drinks </t>
  </si>
  <si>
    <t>NJ Group</t>
  </si>
  <si>
    <t>zac@njgroup.sg</t>
  </si>
  <si>
    <t>9386 5444</t>
  </si>
  <si>
    <t xml:space="preserve">QI Philosophy Cafe </t>
  </si>
  <si>
    <t>choosan@qi-philosophy.com</t>
  </si>
  <si>
    <t>eri.arwan.eqx@gmail.com</t>
  </si>
  <si>
    <t>Stelin83@gmail.com</t>
  </si>
  <si>
    <t>SFAS</t>
  </si>
  <si>
    <t>nicholas@seimitsu.sg</t>
  </si>
  <si>
    <t>6747 8816</t>
  </si>
  <si>
    <t>vrupchev@gmail.com</t>
  </si>
  <si>
    <t>Jasvinder</t>
  </si>
  <si>
    <t>Barrels Entertainment @ SG</t>
  </si>
  <si>
    <t>barrels.entertainment@gmail.com</t>
  </si>
  <si>
    <t>Bonyamin</t>
  </si>
  <si>
    <t xml:space="preserve">Sapari &amp; Family </t>
  </si>
  <si>
    <t>kathybonyamin@yahoo.com</t>
  </si>
  <si>
    <t>mdr.rusli1120@gmail.com</t>
  </si>
  <si>
    <t xml:space="preserve">Grate Food </t>
  </si>
  <si>
    <t>Hello@gratefood.com</t>
  </si>
  <si>
    <t xml:space="preserve">Porcelean Cafe by Grate foodn </t>
  </si>
  <si>
    <t>Tom Yum Mama @ SG-</t>
  </si>
  <si>
    <t>bensonangthyekwan@gmail.com</t>
  </si>
  <si>
    <t>Charles</t>
  </si>
  <si>
    <t>Zen &amp; Power Thai BBQ @ SG</t>
  </si>
  <si>
    <t>TYMM @ SG</t>
  </si>
  <si>
    <t xml:space="preserve">bensonangthyekwan@gmail.com
</t>
  </si>
  <si>
    <t>Republic of SG</t>
  </si>
  <si>
    <t>it@rsyc.org.sg</t>
  </si>
  <si>
    <t>gozali.christiansen@gmail.com</t>
  </si>
  <si>
    <t>Tanglin Club</t>
  </si>
  <si>
    <t xml:space="preserve">tossie.chong@tanglin-club.org.sg
</t>
  </si>
  <si>
    <t xml:space="preserve">Smoke </t>
  </si>
  <si>
    <t>siobhan@smoke.sg</t>
  </si>
  <si>
    <t xml:space="preserve">Standalone </t>
  </si>
  <si>
    <t>ahlong987654@gmail.com</t>
  </si>
  <si>
    <t>Penny Black @ SG--</t>
  </si>
  <si>
    <t>votewp@gmail.com</t>
  </si>
  <si>
    <t>Katong Laksa @ SG</t>
  </si>
  <si>
    <t>Oracle Micros @ Singapore</t>
  </si>
  <si>
    <t>tulug.ozgur@oracle.com</t>
  </si>
  <si>
    <t xml:space="preserve">sweetslurpnbites </t>
  </si>
  <si>
    <t>zurr.work@gmail.com</t>
  </si>
  <si>
    <t>NJ FOODS @ Singapore</t>
  </si>
  <si>
    <t>bharadh@njgroup.sg</t>
  </si>
  <si>
    <t>8739 3509</t>
  </si>
  <si>
    <t xml:space="preserve">Siam Coconut Pte. Ltd. </t>
  </si>
  <si>
    <t>kelvin@siamco.co</t>
  </si>
  <si>
    <t>Huggs-Epigram @ Singapore</t>
  </si>
  <si>
    <t>kala@mishlei.com.sg</t>
  </si>
  <si>
    <t xml:space="preserve">Tonkotsu Kazan Ramen </t>
  </si>
  <si>
    <t xml:space="preserve">97412706) </t>
  </si>
  <si>
    <t>Standalone Cafe PSG</t>
  </si>
  <si>
    <t>Soza holdings Pte Ltd @ Singapore-</t>
  </si>
  <si>
    <t xml:space="preserve">phuatikekee@hotmail.com
</t>
  </si>
  <si>
    <t xml:space="preserve">Fillers </t>
  </si>
  <si>
    <t>8118 3747</t>
  </si>
  <si>
    <t xml:space="preserve">Eat Oat </t>
  </si>
  <si>
    <t>madeleinetay85@gmail.com</t>
  </si>
  <si>
    <t xml:space="preserve">Thai Western </t>
  </si>
  <si>
    <t>ANS Mookata</t>
  </si>
  <si>
    <t>jerrey@ansmookata.com</t>
  </si>
  <si>
    <t>billy061002@yahoo.com.sg</t>
  </si>
  <si>
    <t xml:space="preserve">Mr. Seafood Pte Ltd. </t>
  </si>
  <si>
    <t>Field Point Pte Ltd @ Singapore</t>
  </si>
  <si>
    <t>garykoh_yang@hotmail.com</t>
  </si>
  <si>
    <t>9864 3210</t>
  </si>
  <si>
    <t xml:space="preserve">Source </t>
  </si>
  <si>
    <t>Jayss</t>
  </si>
  <si>
    <t>Rajoo</t>
  </si>
  <si>
    <t>4 Fingers</t>
  </si>
  <si>
    <t>jayss@4fingers.com</t>
  </si>
  <si>
    <t>EXPO</t>
  </si>
  <si>
    <t>Dave</t>
  </si>
  <si>
    <t>Acton</t>
  </si>
  <si>
    <t>4Fingers</t>
  </si>
  <si>
    <t>dave@4fingers.com</t>
  </si>
  <si>
    <t>Kiat</t>
  </si>
  <si>
    <t>Archipelago</t>
  </si>
  <si>
    <t>kiat@arxpelago.com</t>
  </si>
  <si>
    <t>Asiawide Franchise</t>
  </si>
  <si>
    <t>albert@asiawidefranchise.com.sg</t>
  </si>
  <si>
    <t>Sarah</t>
  </si>
  <si>
    <t>Loke</t>
  </si>
  <si>
    <t>Astons</t>
  </si>
  <si>
    <t>sarah_loke@astons.com.sg</t>
  </si>
  <si>
    <t>Zhuang</t>
  </si>
  <si>
    <t>Commonwealth capital</t>
  </si>
  <si>
    <t>zhuanghao.lee@commonwealthcapital.asia</t>
  </si>
  <si>
    <t>Gary</t>
  </si>
  <si>
    <t>Murray</t>
  </si>
  <si>
    <t>Destination Eats</t>
  </si>
  <si>
    <t>garym@destination-eats.com</t>
  </si>
  <si>
    <t>Brown</t>
  </si>
  <si>
    <t>Dominos</t>
  </si>
  <si>
    <t>keith@dominos.com.sg</t>
  </si>
  <si>
    <t>Kyaw</t>
  </si>
  <si>
    <t>Kyaw Oo</t>
  </si>
  <si>
    <t>Executive Officer</t>
  </si>
  <si>
    <t>kkoo@ukyufamily.com</t>
  </si>
  <si>
    <t>95-9-5108925</t>
  </si>
  <si>
    <t>Rod</t>
  </si>
  <si>
    <t>Fowler</t>
  </si>
  <si>
    <t>Food industry</t>
  </si>
  <si>
    <t>row.fowler@fiforesight.com</t>
  </si>
  <si>
    <t>Benji</t>
  </si>
  <si>
    <t>Antony</t>
  </si>
  <si>
    <t>JUMBO Group</t>
  </si>
  <si>
    <t>benji@jumbogroup.com.sg</t>
  </si>
  <si>
    <t>Lynette</t>
  </si>
  <si>
    <t>KFC</t>
  </si>
  <si>
    <t>lynette.lee@kfc.com.sg</t>
  </si>
  <si>
    <t>sock leng</t>
  </si>
  <si>
    <t>ling</t>
  </si>
  <si>
    <t>le grazie bistro llp</t>
  </si>
  <si>
    <t>grazie012319@gmail.com</t>
  </si>
  <si>
    <t>Rachel</t>
  </si>
  <si>
    <t>Aw</t>
  </si>
  <si>
    <t>Les Amis Group</t>
  </si>
  <si>
    <t>rachelaw@lesamis.com.sg</t>
  </si>
  <si>
    <t>Litosparks</t>
  </si>
  <si>
    <t>lester@litosparks.com.sg</t>
  </si>
  <si>
    <t>Jila</t>
  </si>
  <si>
    <t>Mex Out</t>
  </si>
  <si>
    <t>marcus@mexout.com</t>
  </si>
  <si>
    <t>Steven</t>
  </si>
  <si>
    <t>Mizuki Tempura and Sushi</t>
  </si>
  <si>
    <t>office@mizuki-intl.com</t>
  </si>
  <si>
    <t>Winsten</t>
  </si>
  <si>
    <t>Long</t>
  </si>
  <si>
    <t>Monde Nissin</t>
  </si>
  <si>
    <t>winston.long@mondenissin.com</t>
  </si>
  <si>
    <t>Lew</t>
  </si>
  <si>
    <t>Old town white coffee</t>
  </si>
  <si>
    <t>andylew@oldtown.com.my</t>
  </si>
  <si>
    <t>Philip</t>
  </si>
  <si>
    <t>Par</t>
  </si>
  <si>
    <t>philip_lee@partech.com</t>
  </si>
  <si>
    <t>Henning</t>
  </si>
  <si>
    <t>Wittchen</t>
  </si>
  <si>
    <t>Paris Baguette Singapore Pte Ltd</t>
  </si>
  <si>
    <t>henning@spc.co.kr</t>
  </si>
  <si>
    <t>coco</t>
  </si>
  <si>
    <t>Q</t>
  </si>
  <si>
    <t>coco.wang0217@hotmail.com</t>
  </si>
  <si>
    <t>Norton</t>
  </si>
  <si>
    <t>RD</t>
  </si>
  <si>
    <t>andrew@rdthailand.com</t>
  </si>
  <si>
    <t>Ryan</t>
  </si>
  <si>
    <t>Salad Stop!</t>
  </si>
  <si>
    <t>ryan@saladstop.com</t>
  </si>
  <si>
    <t>Select group</t>
  </si>
  <si>
    <t>eugene_lim@select.com.sg</t>
  </si>
  <si>
    <t>Francis Pakiasamy</t>
  </si>
  <si>
    <t>Pakiasamy</t>
  </si>
  <si>
    <t>texas chicken</t>
  </si>
  <si>
    <t>francis_pakiasamy@select.com.sg</t>
  </si>
  <si>
    <t>Sarsa</t>
  </si>
  <si>
    <t>Kailas</t>
  </si>
  <si>
    <t>Unilever - Ben and Jerry's</t>
  </si>
  <si>
    <t>sarsa.kailas@unilever.com</t>
  </si>
  <si>
    <t>Mayvika</t>
  </si>
  <si>
    <t>xplicit pte ltd</t>
  </si>
  <si>
    <t>blackpaanda246@gmail.com</t>
  </si>
  <si>
    <t>Heng</t>
  </si>
  <si>
    <t>Ya kun</t>
  </si>
  <si>
    <t>eugene@yakun.com</t>
  </si>
  <si>
    <t>June</t>
  </si>
  <si>
    <t>Ya Kun Kaya Toast</t>
  </si>
  <si>
    <t>june.ng@yakun.com</t>
  </si>
  <si>
    <t>Muhammad</t>
  </si>
  <si>
    <t>Ilmi</t>
  </si>
  <si>
    <t>Yolo foods</t>
  </si>
  <si>
    <t>ilmi@yolofood.com.sg</t>
  </si>
  <si>
    <t>Rohan</t>
  </si>
  <si>
    <t>Bilimoria</t>
  </si>
  <si>
    <t>Yum brands</t>
  </si>
  <si>
    <t>rohan.billimoria@yum.com</t>
  </si>
  <si>
    <t>Tatsuya</t>
  </si>
  <si>
    <t>Hasegawa</t>
  </si>
  <si>
    <t>Zensho</t>
  </si>
  <si>
    <t>t-hasegawa@zensho.com</t>
  </si>
  <si>
    <t>Bennett</t>
  </si>
  <si>
    <t>Empress Porridge</t>
  </si>
  <si>
    <t>bennettgoh@gmail.com</t>
  </si>
  <si>
    <t>Ministry of Food (MOF)</t>
  </si>
  <si>
    <t>jamessim@ministryoffood.com.sg</t>
  </si>
  <si>
    <t>Anilkumar</t>
  </si>
  <si>
    <t>Valluru</t>
  </si>
  <si>
    <t>Pandayg pvt ltd</t>
  </si>
  <si>
    <t>valluru0007@gmail.com</t>
  </si>
  <si>
    <t>Theodore</t>
  </si>
  <si>
    <t>Pung</t>
  </si>
  <si>
    <t>RE&amp;S Enterprises</t>
  </si>
  <si>
    <t>theodore.pung@res.com.sg</t>
  </si>
  <si>
    <t>Kwang</t>
  </si>
  <si>
    <t>Shake Shack Singapore</t>
  </si>
  <si>
    <t>lk8311@gmail.com</t>
  </si>
  <si>
    <t>Kohdai</t>
  </si>
  <si>
    <t>Ohno</t>
  </si>
  <si>
    <t>TBD</t>
  </si>
  <si>
    <t>dish.kohdai@gmail.com</t>
  </si>
  <si>
    <t>Abhi</t>
  </si>
  <si>
    <t>Shek</t>
  </si>
  <si>
    <t>astreem.com</t>
  </si>
  <si>
    <t>abhishek@astreem.com</t>
  </si>
  <si>
    <t>DINING INNOVATIONS GROUP</t>
  </si>
  <si>
    <t>francis_limwei@yahoo.com</t>
  </si>
  <si>
    <t>Melvin</t>
  </si>
  <si>
    <t>Esarn Thai Corner Pte Ltd</t>
  </si>
  <si>
    <t>Arpit Agarwal</t>
  </si>
  <si>
    <t>Agarwal</t>
  </si>
  <si>
    <t>FIT</t>
  </si>
  <si>
    <t xml:space="preserve">arpitagarwal04@outlook.com
</t>
  </si>
  <si>
    <t>Soon</t>
  </si>
  <si>
    <t>Hajime Pte Ltd</t>
  </si>
  <si>
    <t>JAce</t>
  </si>
  <si>
    <t>Herbivore Pte Ltd</t>
  </si>
  <si>
    <t>hbzen190@gmail.com</t>
  </si>
  <si>
    <t>Japanese fusion restaurant</t>
  </si>
  <si>
    <t>mr.samurai@outlook.com</t>
  </si>
  <si>
    <t>Annie</t>
  </si>
  <si>
    <t>Lamb Weston</t>
  </si>
  <si>
    <t>annie.loe@lambweston.com'</t>
  </si>
  <si>
    <t>HAri</t>
  </si>
  <si>
    <t>Das</t>
  </si>
  <si>
    <t>Pita Tree</t>
  </si>
  <si>
    <t>boatquay@pitatree.com</t>
  </si>
  <si>
    <t>Kurana</t>
  </si>
  <si>
    <t>Restaurant</t>
  </si>
  <si>
    <t>kajalfreschi@gmail.com</t>
  </si>
  <si>
    <t>Bobby</t>
  </si>
  <si>
    <t>Tengawa White Curry</t>
  </si>
  <si>
    <t>bob_1113@hotmail.com</t>
  </si>
  <si>
    <t>9823-6393</t>
  </si>
  <si>
    <t>The Original Boat Noodle</t>
  </si>
  <si>
    <t>anthony lee &lt;anthonylee@atas-food.com&gt;</t>
  </si>
  <si>
    <t>8 Bar Pte Ltd</t>
  </si>
  <si>
    <t>siowkiat.khoo@8ightbar.com'</t>
  </si>
  <si>
    <t>Indoor Environmental &amp; Air Quality Specialist</t>
  </si>
  <si>
    <t>cynthia@aom.sg</t>
  </si>
  <si>
    <t>65-6286 3333</t>
  </si>
  <si>
    <t>annie.loh@lambweston.com</t>
  </si>
  <si>
    <t>Benson</t>
  </si>
  <si>
    <t>Fuentes</t>
  </si>
  <si>
    <t>Opporto</t>
  </si>
  <si>
    <t>benson.fuentes@gmail.com'</t>
  </si>
  <si>
    <t>Sathish</t>
  </si>
  <si>
    <t>G</t>
  </si>
  <si>
    <t>SAMANVAY SINGAPORE PTE LTD</t>
  </si>
  <si>
    <t>accounts@samanvay.com.sg'</t>
  </si>
  <si>
    <t>Jolene</t>
  </si>
  <si>
    <t>Spa Esprit Group</t>
  </si>
  <si>
    <t>jolene.tan@spa-esprit.com</t>
  </si>
  <si>
    <t>AOM</t>
  </si>
  <si>
    <t>Decker Barbecue</t>
  </si>
  <si>
    <t>min@deckerbarbecue.com</t>
  </si>
  <si>
    <t>Li Hui</t>
  </si>
  <si>
    <t>Fusion Bar &amp; Grill</t>
  </si>
  <si>
    <t>see.lihui@gmail.com</t>
  </si>
  <si>
    <t>Amol</t>
  </si>
  <si>
    <t>Morettino Cafe</t>
  </si>
  <si>
    <t>hello@morettinocafe.com</t>
  </si>
  <si>
    <t>Josephine Koh</t>
  </si>
  <si>
    <t>Leh Poh</t>
  </si>
  <si>
    <t>Singapore Airlines</t>
  </si>
  <si>
    <t>lehpoh_koh@singaporeair.com.sg</t>
  </si>
  <si>
    <t>Wheeler's Yard</t>
  </si>
  <si>
    <t>Crystal Jade, Hong Kong</t>
  </si>
  <si>
    <t>victorkkwong@hotmail.com</t>
  </si>
  <si>
    <t>852 26862565</t>
  </si>
  <si>
    <t>Shin</t>
  </si>
  <si>
    <t>Chze</t>
  </si>
  <si>
    <t xml:space="preserve">Intel </t>
  </si>
  <si>
    <t>shin.chze.tang@intel.com</t>
  </si>
  <si>
    <t>Penny</t>
  </si>
  <si>
    <t>penny@litosparks.com.sg</t>
  </si>
  <si>
    <t>8779 2210</t>
  </si>
  <si>
    <t>Maria</t>
  </si>
  <si>
    <t>SASCO</t>
  </si>
  <si>
    <t>marialeong@sasco.org.sg</t>
  </si>
  <si>
    <t>62735183x135</t>
  </si>
  <si>
    <t>Rocky</t>
  </si>
  <si>
    <t>Sr Data Dynamic</t>
  </si>
  <si>
    <t>rocky@srdd.com</t>
  </si>
  <si>
    <t>Sharonne</t>
  </si>
  <si>
    <t>Tang Tea House</t>
  </si>
  <si>
    <t>sharonne.tan@tangteahouse.com</t>
  </si>
  <si>
    <t>Koon</t>
  </si>
  <si>
    <t>Yew</t>
  </si>
  <si>
    <t>Tech Data Advanced Solutions (S) Pte Ltd</t>
  </si>
  <si>
    <t>koonyew.wong@techdata.com'</t>
  </si>
  <si>
    <t>tingwei</t>
  </si>
  <si>
    <t>loo</t>
  </si>
  <si>
    <t>Kee Song</t>
  </si>
  <si>
    <t>tingwei.loo@keesong.com</t>
  </si>
  <si>
    <t>Joshua</t>
  </si>
  <si>
    <t>Bubble Tea</t>
  </si>
  <si>
    <t>joshua@koicafe.com</t>
  </si>
  <si>
    <t>Yuming</t>
  </si>
  <si>
    <t>Gangsta Ramen Pte Ltd</t>
  </si>
  <si>
    <t>weiyuming91@gmail.com</t>
  </si>
  <si>
    <t>Saute Food Pte Ltd</t>
  </si>
  <si>
    <t>saute.sales@gmail.com</t>
  </si>
  <si>
    <t>Johan</t>
  </si>
  <si>
    <t>Singapore Polytechnic Graduates' Guild</t>
  </si>
  <si>
    <t xml:space="preserve">jamal@spgg.org.sg
</t>
  </si>
  <si>
    <t>Domenico</t>
  </si>
  <si>
    <t xml:space="preserve">. City Kitchens
</t>
  </si>
  <si>
    <t xml:space="preserve">domenico.tan@csscompany.com
</t>
  </si>
  <si>
    <t>The Big Bird Pte Ltd</t>
  </si>
  <si>
    <t>thebigbirdcr@gmail.com</t>
  </si>
  <si>
    <t>Walter</t>
  </si>
  <si>
    <t>King</t>
  </si>
  <si>
    <t xml:space="preserve">wallking@yahoo.com
</t>
  </si>
  <si>
    <t>Issac</t>
  </si>
  <si>
    <t>Yan</t>
  </si>
  <si>
    <t>Skyline catering Pte Ltd</t>
  </si>
  <si>
    <t>isyan@tanyusg.com</t>
  </si>
  <si>
    <t>Essen</t>
  </si>
  <si>
    <t>colinkoh@pivotal-international.com</t>
  </si>
  <si>
    <t>Tze</t>
  </si>
  <si>
    <t>Yue</t>
  </si>
  <si>
    <t>Sunday Folks (Cremier Group)</t>
  </si>
  <si>
    <t>tzeyue@creamier.com.sg</t>
  </si>
  <si>
    <t>Antonio</t>
  </si>
  <si>
    <t>Moschetto</t>
  </si>
  <si>
    <t>Italian Monster Company Pte Ltd</t>
  </si>
  <si>
    <t>italian.mc.ltd@gmail.com</t>
  </si>
  <si>
    <t>KS</t>
  </si>
  <si>
    <t>suresh_ks@singaporeair.com.sg</t>
  </si>
  <si>
    <t>Yu cun pte ltd</t>
  </si>
  <si>
    <t>ogdariuschan@gmail.com</t>
  </si>
  <si>
    <t>Crescendas Group</t>
  </si>
  <si>
    <t>isabelleleow@crescendas.com</t>
  </si>
  <si>
    <t>Khoo</t>
  </si>
  <si>
    <t>CHILLI PAN MEE(BATU RD)</t>
  </si>
  <si>
    <t>chillipanmee@singnet.com.sg</t>
  </si>
  <si>
    <t>Li</t>
  </si>
  <si>
    <t>Huangheyuan Pte Ltd</t>
  </si>
  <si>
    <t>xiaoerniuda@gmail.com</t>
  </si>
  <si>
    <t>la casa</t>
  </si>
  <si>
    <t xml:space="preserve">oldkg11@gmail.com
</t>
  </si>
  <si>
    <t>Santos</t>
  </si>
  <si>
    <t xml:space="preserve">Warcath </t>
  </si>
  <si>
    <t xml:space="preserve">warcath@yahoo.com
</t>
  </si>
  <si>
    <t xml:space="preserve">NTUC </t>
  </si>
  <si>
    <t xml:space="preserve">wlsn_lm@yahoo.com
</t>
  </si>
  <si>
    <t>Fuda Dining</t>
  </si>
  <si>
    <t>fudadining@gmail.com</t>
  </si>
  <si>
    <t>Fam</t>
  </si>
  <si>
    <t>HaiXuan Pte Ltd</t>
  </si>
  <si>
    <t>stev.f84@gmail.com</t>
  </si>
  <si>
    <t>Jing Ting</t>
  </si>
  <si>
    <t>OGS Industries</t>
  </si>
  <si>
    <t>jtkoh@ogs.com.sg</t>
  </si>
  <si>
    <t>Lisa</t>
  </si>
  <si>
    <t xml:space="preserve">Workman &amp; Co </t>
  </si>
  <si>
    <t xml:space="preserve">gohlwl@gmail.com
</t>
  </si>
  <si>
    <t>Group Therapy Coffee Pte Ltd</t>
  </si>
  <si>
    <t>weilin.loh@gtcoffee.com</t>
  </si>
  <si>
    <t>Tsan</t>
  </si>
  <si>
    <t xml:space="preserve">Raw Restaurant </t>
  </si>
  <si>
    <t xml:space="preserve">cassandra@kilokitchen.com
</t>
  </si>
  <si>
    <t>Charmaine</t>
  </si>
  <si>
    <t>Hee Tee</t>
  </si>
  <si>
    <t xml:space="preserve">heeteasgp@gmail.com&gt; </t>
  </si>
  <si>
    <t>Upin Hot Pot</t>
  </si>
  <si>
    <t xml:space="preserve">ashley_w.shan@hotmail.com
</t>
  </si>
  <si>
    <t>Grill 99</t>
  </si>
  <si>
    <t>laurenchewch@gmail.com</t>
  </si>
  <si>
    <t>Ahshida</t>
  </si>
  <si>
    <t>Gourmet Plus Pte Ltd</t>
  </si>
  <si>
    <t>ahshida.razali@gourmetplus.com</t>
  </si>
  <si>
    <t>Elizabeth</t>
  </si>
  <si>
    <t>Pokey</t>
  </si>
  <si>
    <t>jessicaelizabeth2019@gmail.com</t>
  </si>
  <si>
    <t>Ananthan</t>
  </si>
  <si>
    <t xml:space="preserve">One Faber </t>
  </si>
  <si>
    <t>ananthan@onefabergroup.com</t>
  </si>
  <si>
    <t>Chambers</t>
  </si>
  <si>
    <t>Shake Farm Singapore</t>
  </si>
  <si>
    <t xml:space="preserve">danny@shakefarm.com
</t>
  </si>
  <si>
    <t>Dee Tongue Thai</t>
  </si>
  <si>
    <t>christian</t>
  </si>
  <si>
    <t>the Loco Group</t>
  </si>
  <si>
    <t>christian@super-loco.com</t>
  </si>
  <si>
    <t>Bharadh</t>
  </si>
  <si>
    <t>Raj</t>
  </si>
  <si>
    <t>NJ Relish Pte Ltd</t>
  </si>
  <si>
    <t>bhradh@njrelish.sg</t>
  </si>
  <si>
    <t>June Eating House</t>
  </si>
  <si>
    <t>junehouse@gmail.com</t>
  </si>
  <si>
    <t>Hui Jun</t>
  </si>
  <si>
    <t>TBC</t>
  </si>
  <si>
    <t>huiijunn@gmail.com</t>
  </si>
  <si>
    <t>Cristabel</t>
  </si>
  <si>
    <t>Nomura Design &amp; Engrg</t>
  </si>
  <si>
    <t>cristabel.chang@nomuradesign.sg</t>
  </si>
  <si>
    <t>Tey</t>
  </si>
  <si>
    <t xml:space="preserve">Tey
GC
</t>
  </si>
  <si>
    <t>seantey@gaincity.com</t>
  </si>
  <si>
    <t>Hoong</t>
  </si>
  <si>
    <t>Old Tea Hut</t>
  </si>
  <si>
    <t>esther.hoong@oldteahut.com</t>
  </si>
  <si>
    <t>Gain City</t>
  </si>
  <si>
    <t>Kieran</t>
  </si>
  <si>
    <t>kieranfoowx@gmail.com</t>
  </si>
  <si>
    <t>Ruth</t>
  </si>
  <si>
    <t>Puppercut</t>
  </si>
  <si>
    <t>hello@puppercut.com</t>
  </si>
  <si>
    <t>1 Altitude</t>
  </si>
  <si>
    <t>65 6773 0070</t>
  </si>
  <si>
    <t>2 wings</t>
  </si>
  <si>
    <t>&amp; sons bacaro</t>
  </si>
  <si>
    <t>28 HongKong Street - RAP</t>
  </si>
  <si>
    <t>65332001 reservation</t>
  </si>
  <si>
    <t>3 Petite Crossiant deal</t>
  </si>
  <si>
    <t>2D 1N Soju Bang Korean Restaurant</t>
  </si>
  <si>
    <t>31 Bar &amp; Kitchen</t>
  </si>
  <si>
    <t>6224 9141</t>
  </si>
  <si>
    <t>49 seats</t>
  </si>
  <si>
    <t>65 6225 4332</t>
  </si>
  <si>
    <t>A for Arbite</t>
  </si>
  <si>
    <t>8 Cafe &amp; Bar</t>
  </si>
  <si>
    <t>62204513, 93806370</t>
  </si>
  <si>
    <t>A Thousand Tales (closed)</t>
  </si>
  <si>
    <t>8 Degrees Taiwanese Bistro deal</t>
  </si>
  <si>
    <t>Absolute Thai</t>
  </si>
  <si>
    <t>A.B.Mohamed Restaurant</t>
  </si>
  <si>
    <t>Adrift</t>
  </si>
  <si>
    <t>Aeiou</t>
  </si>
  <si>
    <t>65 62912698</t>
  </si>
  <si>
    <t>AdstraGold, Microbrewery</t>
  </si>
  <si>
    <t>Aglio Olio Bistro - Raptor List (Pay Only)</t>
  </si>
  <si>
    <t>63273622, (+65) 6266 0643 (Ascent)</t>
  </si>
  <si>
    <t>Afterwit deal</t>
  </si>
  <si>
    <t>65 62993508</t>
  </si>
  <si>
    <t>Ajummas Korean restaurant</t>
  </si>
  <si>
    <t>Monniker</t>
  </si>
  <si>
    <t>Al-bismi restaurant</t>
  </si>
  <si>
    <t>Alba 1836 - Wine Bar &amp; Restaurant</t>
  </si>
  <si>
    <t>Alfero Artisan Gelato</t>
  </si>
  <si>
    <t>65 67026322</t>
  </si>
  <si>
    <t>Alfresco Gusto</t>
  </si>
  <si>
    <t>ALLEY BAR</t>
  </si>
  <si>
    <t>Alibabar Dining Cafe Bar</t>
  </si>
  <si>
    <t>6250 2633</t>
  </si>
  <si>
    <t>Alkaff Mansion Ristorante</t>
  </si>
  <si>
    <t>Allurez Club &amp; Lounge</t>
  </si>
  <si>
    <t>Amber Nectar</t>
  </si>
  <si>
    <t>Amarone Italian Resto</t>
  </si>
  <si>
    <t>Amber Tandoor Restaurant</t>
  </si>
  <si>
    <t>Angel's bistro</t>
  </si>
  <si>
    <t>Amirah's Grill Restaurant &amp; Cafe deal</t>
  </si>
  <si>
    <t>65 9383199</t>
  </si>
  <si>
    <t>Andong Zzimdak</t>
  </si>
  <si>
    <t>Angeleno (SG)</t>
  </si>
  <si>
    <t>65 6221698</t>
  </si>
  <si>
    <t>Anglo Indian Cafe &amp; Bar</t>
  </si>
  <si>
    <t>Aoki</t>
  </si>
  <si>
    <t>Antoinette deal</t>
  </si>
  <si>
    <t>65 67024025, 6293 3121(Penhas Rd), 6836 9527Orchard</t>
  </si>
  <si>
    <t>109 Yong Tau Foo</t>
  </si>
  <si>
    <t>155 Karaoke Pub</t>
  </si>
  <si>
    <t>3 Crowns</t>
  </si>
  <si>
    <t>320 Below deal</t>
  </si>
  <si>
    <t>97884108, 68848683 (O)</t>
  </si>
  <si>
    <t>363 Katong Laksa</t>
  </si>
  <si>
    <t>4point3 Cafe</t>
  </si>
  <si>
    <t>6227 0331, 6532 9006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</si>
  <si>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</si>
  <si>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</si>
  <si>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</si>
  <si>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</si>
  <si>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</si>
  <si>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</si>
  <si>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8 Korean BBQ</t>
  </si>
  <si>
    <t>92995391, 8692 1188 Eu Tong Sen, 8692 1188</t>
  </si>
  <si>
    <t>8 Stanley Street Cafe</t>
  </si>
  <si>
    <t>8 Tarts and Pastries</t>
  </si>
  <si>
    <t>9147 5907</t>
  </si>
  <si>
    <t>818 Kopitiam</t>
  </si>
  <si>
    <t>85 Redhill Teochew Fishball Noodles</t>
  </si>
  <si>
    <t>67798980 (O)</t>
  </si>
  <si>
    <t>86.Bar</t>
  </si>
  <si>
    <t>93°C Bean &amp; Leaf Café</t>
  </si>
  <si>
    <t>A Noodle Story</t>
  </si>
  <si>
    <t>Absinthe</t>
  </si>
  <si>
    <t>Aburiyatei</t>
  </si>
  <si>
    <t>The Ugly Cake Shop</t>
  </si>
  <si>
    <t>Adam's seafood corner</t>
  </si>
  <si>
    <t>Adonis Hotel</t>
  </si>
  <si>
    <t>AFE + BEA Nothing Ordinary</t>
  </si>
  <si>
    <t>Ah Yat Abalone Forum Restaurant</t>
  </si>
  <si>
    <t>Al Hamra Lebanese &amp; Middle Eastern Restaurant</t>
  </si>
  <si>
    <t>Amravati Andhra Kuchullu</t>
  </si>
  <si>
    <t>Ananas Café</t>
  </si>
  <si>
    <t>(+65) 9800 5633</t>
  </si>
  <si>
    <t>Ananda Bhavan deal</t>
  </si>
  <si>
    <t>6299 4466</t>
  </si>
  <si>
    <t>Anatolia Turkish Restaurant</t>
  </si>
  <si>
    <t>And All Things Delicious</t>
  </si>
  <si>
    <t>Andersen's Of Denmark Ice Cream</t>
  </si>
  <si>
    <t>68469555 (O), 6634 2308, +65 6634 2308, +65 6792 4942</t>
  </si>
  <si>
    <t>Andhra Curry</t>
  </si>
  <si>
    <t>AOBA (sg)</t>
  </si>
  <si>
    <t>Appare Japanese Restaurant</t>
  </si>
  <si>
    <t>Apples &amp; Oranges</t>
  </si>
  <si>
    <t>Appu's Curry</t>
  </si>
  <si>
    <t>Aqua Luna</t>
  </si>
  <si>
    <t>Arashi Yakiniku Charcoal Grill Restaurant</t>
  </si>
  <si>
    <t>Aravind's Curry</t>
  </si>
  <si>
    <t>Arbite deal</t>
  </si>
  <si>
    <t>Aranda Lounge</t>
  </si>
  <si>
    <t>Aromas Of India</t>
  </si>
  <si>
    <t>62562448, 6256 2448</t>
  </si>
  <si>
    <t>Arteastiq Group *</t>
  </si>
  <si>
    <t>Artemis Grill</t>
  </si>
  <si>
    <t>Artistry Cafe deal</t>
  </si>
  <si>
    <t>Artichoke deal</t>
  </si>
  <si>
    <t>Ashino</t>
  </si>
  <si>
    <t>Asian Halalfood Pte. Ltd.</t>
  </si>
  <si>
    <t>Assembly Coffee</t>
  </si>
  <si>
    <t>67355647, 67333375</t>
  </si>
  <si>
    <t>Attica Bar</t>
  </si>
  <si>
    <t>Au Petit Salut</t>
  </si>
  <si>
    <t>Auric Pacific Group Limited</t>
  </si>
  <si>
    <t>Auntie Kim's Korean Restaurant</t>
  </si>
  <si>
    <t>6452-2112 Thomson</t>
  </si>
  <si>
    <t>Club Aura deal</t>
  </si>
  <si>
    <t>68661977, 68661978</t>
  </si>
  <si>
    <t>Avenue Joffre</t>
  </si>
  <si>
    <t>Ayam Bakar Ojolali</t>
  </si>
  <si>
    <t>Azzura Resorts Pte. Ltd.</t>
  </si>
  <si>
    <t>B @ Rochester</t>
  </si>
  <si>
    <t>Ba.Li.Ba. Pub &amp; Cafe</t>
  </si>
  <si>
    <t>67362056, 67376036, 67388548, 62222671</t>
  </si>
  <si>
    <t>BabaBlues Restaurant &amp; Bar</t>
  </si>
  <si>
    <t>Back Benchers Cafe &amp; Bar</t>
  </si>
  <si>
    <t>Baci Baci</t>
  </si>
  <si>
    <t>BACON &amp; BOOZE</t>
  </si>
  <si>
    <t>Baja Fresh</t>
  </si>
  <si>
    <t>Bakers Well</t>
  </si>
  <si>
    <t>Badoque Cafe</t>
  </si>
  <si>
    <t>Balaji Bhawan</t>
  </si>
  <si>
    <t>Balaclava (SG)</t>
  </si>
  <si>
    <t>Balance Delight Coffeeshop</t>
  </si>
  <si>
    <t>Balzac Brasserie &amp; Bar</t>
  </si>
  <si>
    <t>Bam! Tapas Sake Bar</t>
  </si>
  <si>
    <t>Seri Queenstown</t>
  </si>
  <si>
    <t>Baquette</t>
  </si>
  <si>
    <t>Bar A Vin</t>
  </si>
  <si>
    <t>Bar.B.Q Tonight Restaurant</t>
  </si>
  <si>
    <t>Bar Canary</t>
  </si>
  <si>
    <t>Barpazza</t>
  </si>
  <si>
    <t>BarRoque Grill</t>
  </si>
  <si>
    <t>Basilico @ Regent Singapore</t>
  </si>
  <si>
    <t>Basil Leaf</t>
  </si>
  <si>
    <t>BayView Tandoor</t>
  </si>
  <si>
    <t>Bearbites cafe</t>
  </si>
  <si>
    <t>BBQ World Korean Restaurant</t>
  </si>
  <si>
    <t>Beaujolais Bar</t>
  </si>
  <si>
    <t>Bee kee wanton noodles</t>
  </si>
  <si>
    <t>Beijing Neng Ren Ju</t>
  </si>
  <si>
    <t>Beer Brisket Wings</t>
  </si>
  <si>
    <t>ARIA| Food. Music. Arts.</t>
  </si>
  <si>
    <t>Arossa Wine &amp; Grill</t>
  </si>
  <si>
    <t>Aroy-dee Thai Kitchen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</si>
  <si>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</si>
  <si>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</si>
  <si>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</si>
  <si>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</si>
  <si>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</si>
  <si>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</si>
  <si>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6431 6156</t>
  </si>
  <si>
    <t>Asli Village @ Downtown East</t>
  </si>
  <si>
    <t>Atmosphere Bistro &amp; Bar deal</t>
  </si>
  <si>
    <t>Awe desserts</t>
  </si>
  <si>
    <t>Azabu Sabo</t>
  </si>
  <si>
    <t>Azmi restaurant</t>
  </si>
  <si>
    <t>9428 0203</t>
  </si>
  <si>
    <t>Bai Jia Herbal Tea</t>
  </si>
  <si>
    <t>Bangrak Thai Kitchen</t>
  </si>
  <si>
    <t>Bao Today</t>
  </si>
  <si>
    <t>Bar-a-Thym</t>
  </si>
  <si>
    <t>Barcook Bakery</t>
  </si>
  <si>
    <t>Bariuma Ramen Restaurant</t>
  </si>
  <si>
    <t>Barossa</t>
  </si>
  <si>
    <t>Barraka Bar and Restaurant</t>
  </si>
  <si>
    <t>6737 9130</t>
  </si>
  <si>
    <t>Batter (My Crepe Escape)</t>
  </si>
  <si>
    <t>Bayang Balinese Cuisine</t>
  </si>
  <si>
    <t>Bazuka Cafe Bar</t>
  </si>
  <si>
    <t>BBQ Chicken</t>
  </si>
  <si>
    <t>Yakiniquest</t>
  </si>
  <si>
    <t>Bento box</t>
  </si>
  <si>
    <t>Belgaufre</t>
  </si>
  <si>
    <t>Bella Pizza</t>
  </si>
  <si>
    <t>The Benjamins deal</t>
  </si>
  <si>
    <t>BeiShanChuan Spicy Steamboat 
 Restaurant</t>
  </si>
  <si>
    <t>Beppu Menkan Dining restaurant</t>
  </si>
  <si>
    <t>BerryLite deal</t>
  </si>
  <si>
    <t>Bing Bian</t>
  </si>
  <si>
    <t>97879255, +65 63389475, +65 63371391</t>
  </si>
  <si>
    <t>Bikaner Express</t>
  </si>
  <si>
    <t>Bijin Nabe</t>
  </si>
  <si>
    <t>Bincho deal</t>
  </si>
  <si>
    <t>64384567, 90499388, 64384567</t>
  </si>
  <si>
    <t>Bistecca Tuscan Steakhouse</t>
  </si>
  <si>
    <t>Bistro</t>
  </si>
  <si>
    <t>Onion Restaurant</t>
  </si>
  <si>
    <t>Bistroquet</t>
  </si>
  <si>
    <t>Bitters &amp; Love</t>
  </si>
  <si>
    <t>Black &amp; White Cocktail Bar &amp; Bites</t>
  </si>
  <si>
    <t>Blackbird Bistro &amp; Bar</t>
  </si>
  <si>
    <t>Blowfish Bar &amp; Entertainment</t>
  </si>
  <si>
    <t>Bliss Garden Restaurant</t>
  </si>
  <si>
    <t>Blu Jazz</t>
  </si>
  <si>
    <t>91990610, 62911297</t>
  </si>
  <si>
    <t>Blue Mist</t>
  </si>
  <si>
    <t>BOCA deal</t>
  </si>
  <si>
    <t>Boiler Room</t>
  </si>
  <si>
    <t>boCHINche deal</t>
  </si>
  <si>
    <t>Bongo Bar</t>
  </si>
  <si>
    <t>Bonkers Pub</t>
  </si>
  <si>
    <t>Bosses Restaurant - Black Society -</t>
  </si>
  <si>
    <t>Boston Seafood Shack</t>
  </si>
  <si>
    <t>Boruto</t>
  </si>
  <si>
    <t>BOTAK JONE</t>
  </si>
  <si>
    <t>Boufe deal</t>
  </si>
  <si>
    <t>Brandker Group Sdn Bhd</t>
  </si>
  <si>
    <t>BRATWORKS The German Imbiss</t>
  </si>
  <si>
    <t>Boulangerie Asanoya</t>
  </si>
  <si>
    <t>Brasserie Gavroche</t>
  </si>
  <si>
    <t>Brazil Churrasco</t>
  </si>
  <si>
    <t>Bread Street Kitchen</t>
  </si>
  <si>
    <t>Breko Cafe deal</t>
  </si>
  <si>
    <t>Breeks</t>
  </si>
  <si>
    <t>Bricks and Cubes</t>
  </si>
  <si>
    <t>Buckaroo BBQ and Grill</t>
  </si>
  <si>
    <t>Brew Maison</t>
  </si>
  <si>
    <t>Bukang Korean BBQ &amp; Seafood Restaurant</t>
  </si>
  <si>
    <t>Bulldog Cafe &amp; Pub</t>
  </si>
  <si>
    <t>Buona Terra</t>
  </si>
  <si>
    <t>Bumbo Rum Club</t>
  </si>
  <si>
    <t>66907500, 66907598</t>
  </si>
  <si>
    <t>Burlamacco deal</t>
  </si>
  <si>
    <t>Burnt Ends</t>
  </si>
  <si>
    <t>Butter Factory</t>
  </si>
  <si>
    <t>Ben &amp; Jerry's @ VivoCity deal</t>
  </si>
  <si>
    <t>Bene Spaghetti</t>
  </si>
  <si>
    <t>Bernie's Restaurant &amp; Bar</t>
  </si>
  <si>
    <t>Best fries forever</t>
  </si>
  <si>
    <t>Bibigo</t>
  </si>
  <si>
    <t>Big boy</t>
  </si>
  <si>
    <t>BigMama Deal</t>
  </si>
  <si>
    <t>9352 2141, 6738 8887 Biopolis, 6270 7704 TG Bahru</t>
  </si>
  <si>
    <t>Billy Bombers</t>
  </si>
  <si>
    <t>94552204, 66849345</t>
  </si>
  <si>
    <t>Black Canyon Coffee &amp; International
  Thai Cuisine</t>
  </si>
  <si>
    <t>Black Opal</t>
  </si>
  <si>
    <t>Bliss House Theme Restaurant</t>
  </si>
  <si>
    <t>Bloomsbury Bakers</t>
  </si>
  <si>
    <t>Blue Urban Oasis Llp</t>
  </si>
  <si>
    <t>Bodacious Bar &amp; Bistro</t>
  </si>
  <si>
    <t>Bonheur Patisserie</t>
  </si>
  <si>
    <t>BORNGA Korean</t>
  </si>
  <si>
    <t>Bottle 1855</t>
  </si>
  <si>
    <t>Box n Sticks</t>
  </si>
  <si>
    <t>BQ Bar + Dharma's Kebabs</t>
  </si>
  <si>
    <t>Bravery Cafe</t>
  </si>
  <si>
    <t>Brawn &amp; Brains</t>
  </si>
  <si>
    <t>Brian's Bakes</t>
  </si>
  <si>
    <t>Bridge Restaurant &amp; Bar</t>
  </si>
  <si>
    <t>British Hainan</t>
  </si>
  <si>
    <t>BRIX</t>
  </si>
  <si>
    <t>Brunetti Cafe</t>
  </si>
  <si>
    <t>Buddy Buddy Cheers</t>
  </si>
  <si>
    <t>Buffet Town</t>
  </si>
  <si>
    <t>6238 0525</t>
  </si>
  <si>
    <t>Bumbu Restaurant</t>
  </si>
  <si>
    <t>Buttergrill deal</t>
  </si>
  <si>
    <t>65 62212354</t>
  </si>
  <si>
    <t>Buyan</t>
  </si>
  <si>
    <t>Buttercake N Cream</t>
  </si>
  <si>
    <t>Cali Cafe &amp; Bar deal</t>
  </si>
  <si>
    <t>Butter Studio deal</t>
  </si>
  <si>
    <t>65 6294711</t>
  </si>
  <si>
    <t>Cacio e Pepe Italian Restaurant</t>
  </si>
  <si>
    <t>Café Etc. deal</t>
  </si>
  <si>
    <t>65 62562848</t>
  </si>
  <si>
    <t>Café OMB</t>
  </si>
  <si>
    <t>Cafe Pal Modern Thai</t>
  </si>
  <si>
    <t>Caffe B</t>
  </si>
  <si>
    <t>65 62222329</t>
  </si>
  <si>
    <t>Cakeaholic</t>
  </si>
  <si>
    <t>Calle Real</t>
  </si>
  <si>
    <t>Canadian Pizza ( Bedok reservoir )</t>
  </si>
  <si>
    <t>64875654, 96828963</t>
  </si>
  <si>
    <t>Candlenut</t>
  </si>
  <si>
    <t>Capri by Fraser Changi</t>
  </si>
  <si>
    <t>Canopy Garden Dining</t>
  </si>
  <si>
    <t>Captain Leo</t>
  </si>
  <si>
    <t>Capricci Bar &amp; Restaurant</t>
  </si>
  <si>
    <t>CARPENTER AND COOK</t>
  </si>
  <si>
    <t>Carvers &amp; Co.</t>
  </si>
  <si>
    <t>Carne &amp; Caipirinha | brazilian
 churrascaria</t>
  </si>
  <si>
    <t>Catch Beer &amp; Batter</t>
  </si>
  <si>
    <t>CATO</t>
  </si>
  <si>
    <t>Central HongKong Cafe @ Wheelock</t>
  </si>
  <si>
    <t>CHA CHA CHA Mexican Restaurant deal</t>
  </si>
  <si>
    <t>Chaitime deal</t>
  </si>
  <si>
    <t>Chang BBQ</t>
  </si>
  <si>
    <t>Charcoal Chicken Express</t>
  </si>
  <si>
    <t>Charlie Brown Cafe</t>
  </si>
  <si>
    <t>Charlyn's Milk Bar</t>
  </si>
  <si>
    <t>Chat Masala</t>
  </si>
  <si>
    <t>Cheek by Jowl</t>
  </si>
  <si>
    <t>Chef's Table</t>
  </si>
  <si>
    <t>Chevy's Bar &amp; Bistro</t>
  </si>
  <si>
    <t>Cheng's Seafood Village</t>
  </si>
  <si>
    <t>Chezcake Bistro</t>
  </si>
  <si>
    <t>Chicken Up (SG)</t>
  </si>
  <si>
    <t>63271203, 6481 4495</t>
  </si>
  <si>
    <t>Chikaranomoto Global Holdings Pte Ltd</t>
  </si>
  <si>
    <t>Chilli Padi restaurant</t>
  </si>
  <si>
    <t>62479531 (O)</t>
  </si>
  <si>
    <t>Chin Huat Live Seafood Restaurant</t>
  </si>
  <si>
    <t>China One deal</t>
  </si>
  <si>
    <t>CHIPPY British Takeaway</t>
  </si>
  <si>
    <t>Cho Omakase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</si>
  <si>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</si>
  <si>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</si>
  <si>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</si>
  <si>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</si>
  <si>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</si>
  <si>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</si>
  <si>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</si>
  <si>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</si>
  <si>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65 68847510</t>
  </si>
  <si>
    <t>Café Siem Reap by Indochine</t>
  </si>
  <si>
    <t>Café Swiss</t>
  </si>
  <si>
    <t>California Pizza</t>
  </si>
  <si>
    <t>65 6836 0110</t>
  </si>
  <si>
    <t>Catalunya</t>
  </si>
  <si>
    <t>Cedar Grill (Taste of 
  Lebanon)</t>
  </si>
  <si>
    <t>Central Thai @ Siglap</t>
  </si>
  <si>
    <t>Charcoal Thai</t>
  </si>
  <si>
    <t>Chateau de Chillon</t>
  </si>
  <si>
    <t>Chatters</t>
  </si>
  <si>
    <t>Chen Fu Ji Sing's Sensation Seafood</t>
  </si>
  <si>
    <t>Cheng's 27</t>
  </si>
  <si>
    <t>Chettinadu New Restaurant</t>
  </si>
  <si>
    <t>Chewy Junior</t>
  </si>
  <si>
    <t>Chicken Clinic</t>
  </si>
  <si>
    <t>CHICKENKEN</t>
  </si>
  <si>
    <t>Chihuly Lounge</t>
  </si>
  <si>
    <t>Chikuwa Tei Japanese Restaurant</t>
  </si>
  <si>
    <t>Chilli Api Catering Pte. Ltd.</t>
  </si>
  <si>
    <t>Chinatown Chicken Hotpot</t>
  </si>
  <si>
    <t>Chinese Restaurant Hot
  Pot</t>
  </si>
  <si>
    <t>Chock Full of Beans deal</t>
  </si>
  <si>
    <t>Chocolate Art</t>
  </si>
  <si>
    <t>Chong Qing Grilled Fish</t>
  </si>
  <si>
    <t>63339148, 62250087, 62980454 (O)</t>
  </si>
  <si>
    <t>Chong Qing Zheng Zong Lao Huo 
 Guo Wang</t>
  </si>
  <si>
    <t>Chupitos Bar</t>
  </si>
  <si>
    <t>63334513, 62950017</t>
  </si>
  <si>
    <t>Choupinette</t>
  </si>
  <si>
    <t>64660613, ( JASON number -6466 0613)</t>
  </si>
  <si>
    <t>Chopsuey Cafe</t>
  </si>
  <si>
    <t>Chotto Matte deal</t>
  </si>
  <si>
    <t>Chye Seng Huat Hardware deal</t>
  </si>
  <si>
    <t>Ciao@ Italian Risto-Bar</t>
  </si>
  <si>
    <t>Clove</t>
  </si>
  <si>
    <t>Citrus House</t>
  </si>
  <si>
    <t>Cicheti deal</t>
  </si>
  <si>
    <t>Club Meatballs</t>
  </si>
  <si>
    <t>Cluck Cluck @ tanjong pagar</t>
  </si>
  <si>
    <t>9018 9236, 9198 2673</t>
  </si>
  <si>
    <t>Cocobay Indian Cuisine</t>
  </si>
  <si>
    <t>Club Street Social</t>
  </si>
  <si>
    <t>Cocotte deal</t>
  </si>
  <si>
    <t>65 62981188</t>
  </si>
  <si>
    <t>Coffee Anatomy</t>
  </si>
  <si>
    <t>Coffee Bandits deal</t>
  </si>
  <si>
    <t>9214 5678</t>
  </si>
  <si>
    <t>Commune Cafe &amp; Bistro No.50 deal</t>
  </si>
  <si>
    <t>Conclave</t>
  </si>
  <si>
    <t>Coffee: Nowhere</t>
  </si>
  <si>
    <t>#ERROR!</t>
  </si>
  <si>
    <t>Company_Name</t>
  </si>
  <si>
    <t>Email_Address</t>
  </si>
  <si>
    <t>Contact_Number</t>
  </si>
  <si>
    <t>PIC_Name</t>
  </si>
  <si>
    <t xml:space="preserve">
Fairoz Kareem</t>
  </si>
  <si>
    <t>Ray</t>
  </si>
  <si>
    <t/>
  </si>
  <si>
    <t>Prakash</t>
  </si>
  <si>
    <t>Arun</t>
  </si>
  <si>
    <t>Gwern</t>
  </si>
  <si>
    <t>Gwendoline</t>
  </si>
  <si>
    <t>Che</t>
  </si>
  <si>
    <t>Su Gin Kong</t>
  </si>
  <si>
    <t>Meghan</t>
  </si>
  <si>
    <t>Maxamillian</t>
  </si>
  <si>
    <t>Stephaine</t>
  </si>
  <si>
    <t>Caroline</t>
  </si>
  <si>
    <t>Zat</t>
  </si>
  <si>
    <t>Kelvin</t>
  </si>
  <si>
    <t>Laychin</t>
  </si>
  <si>
    <t>Maurice</t>
  </si>
  <si>
    <t>Shayne</t>
  </si>
  <si>
    <t>Mari</t>
  </si>
  <si>
    <t>Lambert</t>
  </si>
  <si>
    <t>Deon</t>
  </si>
  <si>
    <t>Anil</t>
  </si>
  <si>
    <t>Dennis</t>
  </si>
  <si>
    <t>MJ</t>
  </si>
  <si>
    <t>Roja</t>
  </si>
  <si>
    <t>Pham</t>
  </si>
  <si>
    <t>: 上妻良平</t>
  </si>
  <si>
    <t>Fion</t>
  </si>
  <si>
    <t>Aqram</t>
  </si>
  <si>
    <t>Xcel</t>
  </si>
  <si>
    <t>Ryohei</t>
  </si>
  <si>
    <t>Sonia</t>
  </si>
  <si>
    <t>Maison</t>
  </si>
  <si>
    <t>Ravichandran</t>
  </si>
  <si>
    <t>Ayshwariya</t>
  </si>
  <si>
    <t>Ketan</t>
  </si>
  <si>
    <t>Jeannie</t>
  </si>
  <si>
    <t>Tweety</t>
  </si>
  <si>
    <t>Shinya</t>
  </si>
  <si>
    <t>Kiran</t>
  </si>
  <si>
    <t>Royng</t>
  </si>
  <si>
    <t>Jon</t>
  </si>
  <si>
    <t>Desmond Goh</t>
  </si>
  <si>
    <t>Daniel</t>
  </si>
  <si>
    <t>Hsing</t>
  </si>
  <si>
    <t>Yuan</t>
  </si>
  <si>
    <t>Owner</t>
  </si>
  <si>
    <t>Benny</t>
  </si>
  <si>
    <t>Kumaarie</t>
  </si>
  <si>
    <t>Lex</t>
  </si>
  <si>
    <t>Alastier</t>
  </si>
  <si>
    <t>Meijia</t>
  </si>
  <si>
    <t>Geraldine</t>
  </si>
  <si>
    <t>Eric</t>
  </si>
  <si>
    <t>Ta Wei</t>
  </si>
  <si>
    <t>Rita</t>
  </si>
  <si>
    <t>Jeng Yih</t>
  </si>
  <si>
    <t>Carol</t>
  </si>
  <si>
    <t>Jana</t>
  </si>
  <si>
    <t>Keat</t>
  </si>
  <si>
    <t>Minying</t>
  </si>
  <si>
    <t>Dorin</t>
  </si>
  <si>
    <t>Vernon</t>
  </si>
  <si>
    <t>Tom</t>
  </si>
  <si>
    <t>Ku</t>
  </si>
  <si>
    <t>Ashiq</t>
  </si>
  <si>
    <t>Jeric</t>
  </si>
  <si>
    <t>Kristen</t>
  </si>
  <si>
    <t>Tong</t>
  </si>
  <si>
    <t>Soi</t>
  </si>
  <si>
    <t>Alfian</t>
  </si>
  <si>
    <t>Ching</t>
  </si>
  <si>
    <t>Haresh</t>
  </si>
  <si>
    <t>Yen</t>
  </si>
  <si>
    <t>Hock</t>
  </si>
  <si>
    <t>Leandro</t>
  </si>
  <si>
    <t>Miin</t>
  </si>
  <si>
    <t>Weng</t>
  </si>
  <si>
    <t>Evelyn</t>
  </si>
  <si>
    <t>Yin</t>
  </si>
  <si>
    <t>Videl</t>
  </si>
  <si>
    <t>Momoko</t>
  </si>
  <si>
    <t>Joy</t>
  </si>
  <si>
    <t>Cary</t>
  </si>
  <si>
    <t>JAson</t>
  </si>
  <si>
    <t>Raphael</t>
  </si>
  <si>
    <t>Shao</t>
  </si>
  <si>
    <t>Serena</t>
  </si>
  <si>
    <t>Jane</t>
  </si>
  <si>
    <t>Eng</t>
  </si>
  <si>
    <t>Jam</t>
  </si>
  <si>
    <t>Veera</t>
  </si>
  <si>
    <t>Molly</t>
  </si>
  <si>
    <t>Linus</t>
  </si>
  <si>
    <t>Ashwin</t>
  </si>
  <si>
    <t>Yi Jie</t>
  </si>
  <si>
    <t>Azan</t>
  </si>
  <si>
    <t>J</t>
  </si>
  <si>
    <t>vivian</t>
  </si>
  <si>
    <t>Jonathan</t>
  </si>
  <si>
    <t>Sik</t>
  </si>
  <si>
    <t>Ginnie</t>
  </si>
  <si>
    <t>Diana</t>
  </si>
  <si>
    <t>Phyllis</t>
  </si>
  <si>
    <t>april</t>
  </si>
  <si>
    <t>Hao Yang</t>
  </si>
  <si>
    <t>Maggie</t>
  </si>
  <si>
    <t>Jervis</t>
  </si>
  <si>
    <t>Alan</t>
  </si>
  <si>
    <t>Shan</t>
  </si>
  <si>
    <t>Johnny</t>
  </si>
  <si>
    <t>Kheng</t>
  </si>
  <si>
    <t>Cat</t>
  </si>
  <si>
    <t>Sally</t>
  </si>
  <si>
    <t>Hugo</t>
  </si>
  <si>
    <t>Fadil</t>
  </si>
  <si>
    <t>Jing Yo</t>
  </si>
  <si>
    <t>Chien</t>
  </si>
  <si>
    <t>Daryl</t>
  </si>
  <si>
    <t>Constante</t>
  </si>
  <si>
    <t>Wyncy</t>
  </si>
  <si>
    <t>Cavin</t>
  </si>
  <si>
    <t>Regine</t>
  </si>
  <si>
    <t>Penn</t>
  </si>
  <si>
    <t>Oliver</t>
  </si>
  <si>
    <t>Guo YAo</t>
  </si>
  <si>
    <t>Min</t>
  </si>
  <si>
    <t>Hiro</t>
  </si>
  <si>
    <t>Crystal</t>
  </si>
  <si>
    <t>Geetham</t>
  </si>
  <si>
    <t>YAm</t>
  </si>
  <si>
    <t>Zacc</t>
  </si>
  <si>
    <t>Vicky</t>
  </si>
  <si>
    <t>Emi</t>
  </si>
  <si>
    <t>Tracy</t>
  </si>
  <si>
    <t>Karen</t>
  </si>
  <si>
    <t>SS</t>
  </si>
  <si>
    <t>Kai</t>
  </si>
  <si>
    <t>Rajasekar</t>
  </si>
  <si>
    <t>Lilly</t>
  </si>
  <si>
    <t>Alberto</t>
  </si>
  <si>
    <t>Yi Ting</t>
  </si>
  <si>
    <t>Dawni</t>
  </si>
  <si>
    <t>Cynthia</t>
  </si>
  <si>
    <t>TNG</t>
  </si>
  <si>
    <t>JACK</t>
  </si>
  <si>
    <t>Justin</t>
  </si>
  <si>
    <t>Charley</t>
  </si>
  <si>
    <t>Tanyu Can</t>
  </si>
  <si>
    <t>Sofra</t>
  </si>
  <si>
    <t>Harry Toh</t>
  </si>
  <si>
    <t>Gustin</t>
  </si>
  <si>
    <t>Lia</t>
  </si>
  <si>
    <t>Wen</t>
  </si>
  <si>
    <t>Kerwin</t>
  </si>
  <si>
    <t>Jawahar</t>
  </si>
  <si>
    <t>Apple</t>
  </si>
  <si>
    <t>Shane</t>
  </si>
  <si>
    <t>Surin</t>
  </si>
  <si>
    <t>Water</t>
  </si>
  <si>
    <t>Jeat yun</t>
  </si>
  <si>
    <t>Kumara</t>
  </si>
  <si>
    <t>Wenny</t>
  </si>
  <si>
    <t>Mohamed</t>
  </si>
  <si>
    <t>Ismail</t>
  </si>
  <si>
    <t>Ming</t>
  </si>
  <si>
    <t>Lauren</t>
  </si>
  <si>
    <t>Kenley</t>
  </si>
  <si>
    <t>Lee Wan Jin</t>
  </si>
  <si>
    <t>Jay</t>
  </si>
  <si>
    <t>Alvin</t>
  </si>
  <si>
    <t>Lorraine</t>
  </si>
  <si>
    <t>KArl</t>
  </si>
  <si>
    <t>Hung</t>
  </si>
  <si>
    <t>Chintilla</t>
  </si>
  <si>
    <t>Lieu</t>
  </si>
  <si>
    <t>Paul</t>
  </si>
  <si>
    <t>Zarif</t>
  </si>
  <si>
    <t>Peh</t>
  </si>
  <si>
    <t>Tan Wei man</t>
  </si>
  <si>
    <t>Sabnani</t>
  </si>
  <si>
    <t>Sulaiman</t>
  </si>
  <si>
    <t>Boey</t>
  </si>
  <si>
    <t>Chiu</t>
  </si>
  <si>
    <t>Voong</t>
  </si>
  <si>
    <t>Line</t>
  </si>
  <si>
    <t>Cong</t>
  </si>
  <si>
    <t>Ikkoku</t>
  </si>
  <si>
    <t>Shri</t>
  </si>
  <si>
    <t>Patel</t>
  </si>
  <si>
    <t>Chiao</t>
  </si>
  <si>
    <t>Chakri</t>
  </si>
  <si>
    <t>Dai</t>
  </si>
  <si>
    <t>So</t>
  </si>
  <si>
    <t>Akurati</t>
  </si>
  <si>
    <t>Qi</t>
  </si>
  <si>
    <t>Loi</t>
  </si>
  <si>
    <t>Nijman</t>
  </si>
  <si>
    <t>TAN</t>
  </si>
  <si>
    <t>Kuei How</t>
  </si>
  <si>
    <t>TXY</t>
  </si>
  <si>
    <t>Thang</t>
  </si>
  <si>
    <t>Shwu</t>
  </si>
  <si>
    <t>Lamba</t>
  </si>
  <si>
    <t>Tech</t>
  </si>
  <si>
    <t>Jiang</t>
  </si>
  <si>
    <t>Chalong</t>
  </si>
  <si>
    <t>Salahhudin</t>
  </si>
  <si>
    <t>Laiping</t>
  </si>
  <si>
    <t>Pay</t>
  </si>
  <si>
    <t>Dorothy</t>
  </si>
  <si>
    <t>Lefoort</t>
  </si>
  <si>
    <t>Cheng</t>
  </si>
  <si>
    <t>Shan Wei</t>
  </si>
  <si>
    <t>Yi</t>
  </si>
  <si>
    <t>Hor</t>
  </si>
  <si>
    <t>Katba</t>
  </si>
  <si>
    <t>Min Liau</t>
  </si>
  <si>
    <t>WM</t>
  </si>
  <si>
    <t>Tang</t>
  </si>
  <si>
    <t>Teh</t>
  </si>
  <si>
    <t>Wei Jie</t>
  </si>
  <si>
    <t>Leslie</t>
  </si>
  <si>
    <t>Qian</t>
  </si>
  <si>
    <t>Feng</t>
  </si>
  <si>
    <t>ALi</t>
  </si>
  <si>
    <t>Delos</t>
  </si>
  <si>
    <t>Gates</t>
  </si>
  <si>
    <t>Viknesh</t>
  </si>
  <si>
    <t>Oey</t>
  </si>
  <si>
    <t>Mubarak</t>
  </si>
  <si>
    <t>Dididh</t>
  </si>
  <si>
    <t>Fu</t>
  </si>
  <si>
    <t>Garrido</t>
  </si>
  <si>
    <t>Rose</t>
  </si>
  <si>
    <t>Ning</t>
  </si>
  <si>
    <t>Cindy</t>
  </si>
  <si>
    <t>Jun</t>
  </si>
  <si>
    <t>Gordon</t>
  </si>
  <si>
    <t>Arthur</t>
  </si>
  <si>
    <t>Fleex</t>
  </si>
  <si>
    <t>Adelene</t>
  </si>
  <si>
    <t>Sreedhara</t>
  </si>
  <si>
    <t>Raghavendra</t>
  </si>
  <si>
    <t>shaarman</t>
  </si>
  <si>
    <t>Juergen</t>
  </si>
  <si>
    <t>Dani</t>
  </si>
  <si>
    <t>Damien</t>
  </si>
  <si>
    <t>Akemi</t>
  </si>
  <si>
    <t>Yeewei</t>
  </si>
  <si>
    <t>Dhon</t>
  </si>
  <si>
    <t>Zann</t>
  </si>
  <si>
    <t>Miyako</t>
  </si>
  <si>
    <t>Yuhang</t>
  </si>
  <si>
    <t>Mdm</t>
  </si>
  <si>
    <t>Irene</t>
  </si>
  <si>
    <t>Nur</t>
  </si>
  <si>
    <t>Hwai</t>
  </si>
  <si>
    <t>Wiki</t>
  </si>
  <si>
    <t>Terance</t>
  </si>
  <si>
    <t>Ken</t>
  </si>
  <si>
    <t>Faye</t>
  </si>
  <si>
    <t>Roy</t>
  </si>
  <si>
    <t>Deah Chien</t>
  </si>
  <si>
    <t>Stanley</t>
  </si>
  <si>
    <t>Vert</t>
  </si>
  <si>
    <t>Harish</t>
  </si>
  <si>
    <t>Iris</t>
  </si>
  <si>
    <t>Farisha</t>
  </si>
  <si>
    <t>Mian</t>
  </si>
  <si>
    <t>Beiyi</t>
  </si>
  <si>
    <t>Adeline</t>
  </si>
  <si>
    <t>Zach</t>
  </si>
  <si>
    <t>Victoria</t>
  </si>
  <si>
    <t>Siti</t>
  </si>
  <si>
    <t>Jacey</t>
  </si>
  <si>
    <t>Cherie</t>
  </si>
  <si>
    <t>Sweet</t>
  </si>
  <si>
    <t>Roysten</t>
  </si>
  <si>
    <t>Angela</t>
  </si>
  <si>
    <t>Octhavine</t>
  </si>
  <si>
    <t>Serene</t>
  </si>
  <si>
    <t>shareen</t>
  </si>
  <si>
    <t>Yukun</t>
  </si>
  <si>
    <t>Fredrick</t>
  </si>
  <si>
    <t>Aderick</t>
  </si>
  <si>
    <t>Ms May</t>
  </si>
  <si>
    <t>Pankaj</t>
  </si>
  <si>
    <t>Nick</t>
  </si>
  <si>
    <t>Krison</t>
  </si>
  <si>
    <t>Nini</t>
  </si>
  <si>
    <t>Faayiz</t>
  </si>
  <si>
    <t>Azhar Majid</t>
  </si>
  <si>
    <t>Webinar</t>
  </si>
  <si>
    <t>Tiimothy</t>
  </si>
  <si>
    <t>Jia</t>
  </si>
  <si>
    <t>Walaku</t>
  </si>
  <si>
    <t>Ibrahim</t>
  </si>
  <si>
    <t>Zhen</t>
  </si>
  <si>
    <t>christina</t>
  </si>
  <si>
    <t>Sunil</t>
  </si>
  <si>
    <t>arnau</t>
  </si>
  <si>
    <t>Christine</t>
  </si>
  <si>
    <t>Renyi</t>
  </si>
  <si>
    <t>Naomi</t>
  </si>
  <si>
    <t>TB</t>
  </si>
  <si>
    <t>Endarmin</t>
  </si>
  <si>
    <t>Sid</t>
  </si>
  <si>
    <t>Loo</t>
  </si>
  <si>
    <t>Elliot</t>
  </si>
  <si>
    <t>Calvin</t>
  </si>
  <si>
    <t>Junyang</t>
  </si>
  <si>
    <t>Donovan</t>
  </si>
  <si>
    <t>Krishna</t>
  </si>
  <si>
    <t>Nancy</t>
  </si>
  <si>
    <t>Castel</t>
  </si>
  <si>
    <t>Kuan</t>
  </si>
  <si>
    <t>Keshavan</t>
  </si>
  <si>
    <t>Pauline</t>
  </si>
  <si>
    <t>Diane</t>
  </si>
  <si>
    <t>Shengqian</t>
  </si>
  <si>
    <t>Maxie</t>
  </si>
  <si>
    <t>May</t>
  </si>
  <si>
    <t>Rahael</t>
  </si>
  <si>
    <t>Brandan</t>
  </si>
  <si>
    <t>Dean</t>
  </si>
  <si>
    <t>Glenn</t>
  </si>
  <si>
    <t>Tim</t>
  </si>
  <si>
    <t>Donald</t>
  </si>
  <si>
    <t>Nash</t>
  </si>
  <si>
    <t>Gwen</t>
  </si>
  <si>
    <t>Kit</t>
  </si>
  <si>
    <t>aman</t>
  </si>
  <si>
    <t>Celine</t>
  </si>
  <si>
    <t>Dareen</t>
  </si>
  <si>
    <t>Deep</t>
  </si>
  <si>
    <t>Roland</t>
  </si>
  <si>
    <t>Aberdeen</t>
  </si>
  <si>
    <t>Andrie</t>
  </si>
  <si>
    <t>Naing</t>
  </si>
  <si>
    <t>Chonhak</t>
  </si>
  <si>
    <t>Minali</t>
  </si>
  <si>
    <t>Sunny</t>
  </si>
  <si>
    <t>Xie</t>
  </si>
  <si>
    <t>Zenith</t>
  </si>
  <si>
    <t>Pini</t>
  </si>
  <si>
    <t>chin Hui</t>
  </si>
  <si>
    <t>Binu</t>
  </si>
  <si>
    <t>Ankit</t>
  </si>
  <si>
    <t>Regina</t>
  </si>
  <si>
    <t>Kathy</t>
  </si>
  <si>
    <t>Rahul</t>
  </si>
  <si>
    <t>Mahesh</t>
  </si>
  <si>
    <t>Jumali</t>
  </si>
  <si>
    <t>Ron</t>
  </si>
  <si>
    <t>Jacquiline</t>
  </si>
  <si>
    <t>Eri</t>
  </si>
  <si>
    <t>Stelin</t>
  </si>
  <si>
    <t>Vrup</t>
  </si>
  <si>
    <t>MDR Rusli</t>
  </si>
  <si>
    <t>Shubing</t>
  </si>
  <si>
    <t>gozali</t>
  </si>
  <si>
    <t>Tossie</t>
  </si>
  <si>
    <t>Ah</t>
  </si>
  <si>
    <t>Tulug</t>
  </si>
  <si>
    <t>Zuraina</t>
  </si>
  <si>
    <t>Kala</t>
  </si>
  <si>
    <t>Tike</t>
  </si>
  <si>
    <t>Madeline</t>
  </si>
  <si>
    <t>Jerry</t>
  </si>
  <si>
    <t>Hiah</t>
  </si>
  <si>
    <t>M</t>
  </si>
  <si>
    <t>Sastry</t>
  </si>
  <si>
    <t>Xing</t>
  </si>
  <si>
    <t>Chippy</t>
  </si>
  <si>
    <t>Kwan</t>
  </si>
  <si>
    <t>HAn</t>
  </si>
  <si>
    <t>Lizumi</t>
  </si>
  <si>
    <t>Johnson</t>
  </si>
  <si>
    <t>Sivam</t>
  </si>
  <si>
    <t>Nadiah</t>
  </si>
  <si>
    <t>Yeam</t>
  </si>
  <si>
    <t>Shi</t>
  </si>
  <si>
    <t>Thapa</t>
  </si>
  <si>
    <t>Ker</t>
  </si>
  <si>
    <t>Ho</t>
  </si>
  <si>
    <t>Hegde</t>
  </si>
  <si>
    <t>Kang Yang</t>
  </si>
  <si>
    <t>Onrubia</t>
  </si>
  <si>
    <t>Khanshat</t>
  </si>
  <si>
    <t>Bakesh</t>
  </si>
  <si>
    <t>J Sam</t>
  </si>
  <si>
    <t>Yiou</t>
  </si>
  <si>
    <t>Nair</t>
  </si>
  <si>
    <t>Teow</t>
  </si>
  <si>
    <t>Kyu</t>
  </si>
  <si>
    <t>White</t>
  </si>
  <si>
    <t>Jue</t>
  </si>
  <si>
    <t>Ling</t>
  </si>
  <si>
    <t>Philipps</t>
  </si>
  <si>
    <t>Ameen</t>
  </si>
  <si>
    <t>Asron</t>
  </si>
  <si>
    <t>Ding</t>
  </si>
  <si>
    <t>SL</t>
  </si>
  <si>
    <t>Chu</t>
  </si>
  <si>
    <t>Purnama</t>
  </si>
  <si>
    <t>Seapio</t>
  </si>
  <si>
    <t>San</t>
  </si>
  <si>
    <t>Erwn</t>
  </si>
  <si>
    <t>Chev</t>
  </si>
  <si>
    <t>Ozgur</t>
  </si>
  <si>
    <t>Rashidi</t>
  </si>
  <si>
    <t>Ngian</t>
  </si>
  <si>
    <t>Mishra</t>
  </si>
  <si>
    <t>Kee</t>
  </si>
  <si>
    <t>Kajal</t>
  </si>
  <si>
    <t>Ai</t>
  </si>
  <si>
    <t>Suresh</t>
  </si>
  <si>
    <t>Darius</t>
  </si>
  <si>
    <t>Stevan</t>
  </si>
  <si>
    <t>Weilin</t>
  </si>
  <si>
    <t>Danny</t>
  </si>
  <si>
    <t>Razali</t>
  </si>
  <si>
    <t xml:space="preserve">Company_Name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</si>
</sst>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9"/>
      <color rgb="FF1F1F1F"/>
      <name val="Arial"/>
    </font>
    <font>
      <sz val="9"/>
      <color rgb="FF222222"/>
      <name val="Arial"/>
    </font>
    <font>
      <u/>
      <sz val="9"/>
      <color rgb="FF1155CC"/>
      <name val="Helvetica Neue"/>
    </font>
    <font>
      <u/>
      <sz val="9"/>
      <color rgb="FF0000FF"/>
      <name val="Arial"/>
    </font>
    <font>
      <sz val="9"/>
      <color rgb="FF425B76"/>
      <name val="Helvetica Neue"/>
    </font>
    <font>
      <sz val="9"/>
      <color rgb="FF0D0D0D"/>
      <name val="Arial"/>
    </font>
    <font>
      <sz val="12"/>
      <color rgb="FF425B76"/>
      <name val="Helvetica Neue"/>
    </font>
    <font>
      <sz val="11"/>
      <color rgb="FF222222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10"/>
      <color theme="1"/>
      <name val="Calibri"/>
    </font>
    <font>
      <u/>
      <sz val="10"/>
      <color rgb="FF0000FF"/>
      <name val="Calibri"/>
    </font>
    <font>
      <sz val="11"/>
      <color theme="1"/>
      <name val="Calibri"/>
    </font>
    <font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6" fillId="0" borderId="1" xfId="0" quotePrefix="1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ne@olabeachclub.com" TargetMode="External"/><Relationship Id="rId1" Type="http://schemas.openxmlformats.org/officeDocument/2006/relationships/hyperlink" Target="mailto:jirehtang199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ldkimchi.sg/" TargetMode="External"/><Relationship Id="rId2" Type="http://schemas.openxmlformats.org/officeDocument/2006/relationships/hyperlink" Target="https://www.dapaolo.com.sg/home" TargetMode="External"/><Relationship Id="rId1" Type="http://schemas.openxmlformats.org/officeDocument/2006/relationships/hyperlink" Target="https://martabak.sg/" TargetMode="External"/><Relationship Id="rId5" Type="http://schemas.openxmlformats.org/officeDocument/2006/relationships/hyperlink" Target="https://www.wangdaebakbbq.sg/" TargetMode="External"/><Relationship Id="rId4" Type="http://schemas.openxmlformats.org/officeDocument/2006/relationships/hyperlink" Target="mailto:Info@talkdatrts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ul.yam@kimlygroup.sg" TargetMode="External"/><Relationship Id="rId2" Type="http://schemas.openxmlformats.org/officeDocument/2006/relationships/hyperlink" Target="http://www.funtoast.com.sg/" TargetMode="External"/><Relationship Id="rId1" Type="http://schemas.openxmlformats.org/officeDocument/2006/relationships/hyperlink" Target="mailto:amanda@insurgence.sg" TargetMode="External"/><Relationship Id="rId4" Type="http://schemas.openxmlformats.org/officeDocument/2006/relationships/hyperlink" Target="mailto:zaccl@outlook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atherine.lee@mymca.org.sg" TargetMode="External"/><Relationship Id="rId13" Type="http://schemas.openxmlformats.org/officeDocument/2006/relationships/hyperlink" Target="https://www.google.com/search?q=happy+bowl+singapore&amp;rlz=1C1CHBF_enSG867SG867&amp;oq=happy+bowl+singapore&amp;aqs=chrome..69i57.3464j0j7&amp;sourceid=chrome&amp;ie=UTF-8" TargetMode="External"/><Relationship Id="rId18" Type="http://schemas.openxmlformats.org/officeDocument/2006/relationships/hyperlink" Target="mailto:kenn2chen@yahoo.com" TargetMode="External"/><Relationship Id="rId26" Type="http://schemas.openxmlformats.org/officeDocument/2006/relationships/hyperlink" Target="mailto:kheknco@gmail.com" TargetMode="External"/><Relationship Id="rId3" Type="http://schemas.openxmlformats.org/officeDocument/2006/relationships/hyperlink" Target="mailto:darren.tan@frucesg.com" TargetMode="External"/><Relationship Id="rId21" Type="http://schemas.openxmlformats.org/officeDocument/2006/relationships/hyperlink" Target="mailto:carelyn.chia@qqgroup.sg" TargetMode="External"/><Relationship Id="rId7" Type="http://schemas.openxmlformats.org/officeDocument/2006/relationships/hyperlink" Target="mailto:tony@bellagroup.com.sg" TargetMode="External"/><Relationship Id="rId12" Type="http://schemas.openxmlformats.org/officeDocument/2006/relationships/hyperlink" Target="mailto:Happybowlsg@gmail.com" TargetMode="External"/><Relationship Id="rId17" Type="http://schemas.openxmlformats.org/officeDocument/2006/relationships/hyperlink" Target="mailto:quevietnamese@gmail.com" TargetMode="External"/><Relationship Id="rId25" Type="http://schemas.openxmlformats.org/officeDocument/2006/relationships/hyperlink" Target="mailto:faayizali1@gmail.com" TargetMode="External"/><Relationship Id="rId2" Type="http://schemas.openxmlformats.org/officeDocument/2006/relationships/hyperlink" Target="mailto:james@indochili.com" TargetMode="External"/><Relationship Id="rId16" Type="http://schemas.openxmlformats.org/officeDocument/2006/relationships/hyperlink" Target="mailto:quevietnamese@gmail.com" TargetMode="External"/><Relationship Id="rId20" Type="http://schemas.openxmlformats.org/officeDocument/2006/relationships/hyperlink" Target="mailto:adriankohzw@gmail.com" TargetMode="External"/><Relationship Id="rId29" Type="http://schemas.openxmlformats.org/officeDocument/2006/relationships/hyperlink" Target="mailto:pauline@appetizer.com.sg" TargetMode="External"/><Relationship Id="rId1" Type="http://schemas.openxmlformats.org/officeDocument/2006/relationships/hyperlink" Target="mailto:cindy_yeo@spc.co.kr" TargetMode="External"/><Relationship Id="rId6" Type="http://schemas.openxmlformats.org/officeDocument/2006/relationships/hyperlink" Target="mailto:kelly@geniecollective.sg" TargetMode="External"/><Relationship Id="rId11" Type="http://schemas.openxmlformats.org/officeDocument/2006/relationships/hyperlink" Target="mailto:enquiry@mumskitchen.com.sg" TargetMode="External"/><Relationship Id="rId24" Type="http://schemas.openxmlformats.org/officeDocument/2006/relationships/hyperlink" Target="mailto:castelgrp@gmail.com" TargetMode="External"/><Relationship Id="rId32" Type="http://schemas.openxmlformats.org/officeDocument/2006/relationships/hyperlink" Target="mailto:silun1314@gmail.com" TargetMode="External"/><Relationship Id="rId5" Type="http://schemas.openxmlformats.org/officeDocument/2006/relationships/hyperlink" Target="mailto:josephinechew@oneness.com.sg" TargetMode="External"/><Relationship Id="rId15" Type="http://schemas.openxmlformats.org/officeDocument/2006/relationships/hyperlink" Target="mailto:email@laiwahrestaurant.com" TargetMode="External"/><Relationship Id="rId23" Type="http://schemas.openxmlformats.org/officeDocument/2006/relationships/hyperlink" Target="mailto:yukun.shi@antgroup.com" TargetMode="External"/><Relationship Id="rId28" Type="http://schemas.openxmlformats.org/officeDocument/2006/relationships/hyperlink" Target="mailto:venessa@vouch.sg" TargetMode="External"/><Relationship Id="rId10" Type="http://schemas.openxmlformats.org/officeDocument/2006/relationships/hyperlink" Target="https://www.sedonahotels.com.sg/" TargetMode="External"/><Relationship Id="rId19" Type="http://schemas.openxmlformats.org/officeDocument/2006/relationships/hyperlink" Target="https://docs.google.com/a/tabsquare.com/forms/d/14cUvyF8OLqmfUnBzZzDRRcg4FgYxlkxhvLMF8nUUXnE/edit?usp=mail_response_notification" TargetMode="External"/><Relationship Id="rId31" Type="http://schemas.openxmlformats.org/officeDocument/2006/relationships/hyperlink" Target="http://12buy.sg/" TargetMode="External"/><Relationship Id="rId4" Type="http://schemas.openxmlformats.org/officeDocument/2006/relationships/hyperlink" Target="mailto:celinesbautista@gmail.com" TargetMode="External"/><Relationship Id="rId9" Type="http://schemas.openxmlformats.org/officeDocument/2006/relationships/hyperlink" Target="mailto:hanrobert@quaysidedining.com" TargetMode="External"/><Relationship Id="rId14" Type="http://schemas.openxmlformats.org/officeDocument/2006/relationships/hyperlink" Target="mailto:cucina17@yahoo.com.sg" TargetMode="External"/><Relationship Id="rId22" Type="http://schemas.openxmlformats.org/officeDocument/2006/relationships/hyperlink" Target="mailto:stanleyyap@live.com" TargetMode="External"/><Relationship Id="rId27" Type="http://schemas.openxmlformats.org/officeDocument/2006/relationships/hyperlink" Target="mailto:briangoh@fareast.com.sg" TargetMode="External"/><Relationship Id="rId30" Type="http://schemas.openxmlformats.org/officeDocument/2006/relationships/hyperlink" Target="mailto:Info@rattanathairestaurant.com.s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ajalfreschi@gmail.com" TargetMode="External"/><Relationship Id="rId13" Type="http://schemas.openxmlformats.org/officeDocument/2006/relationships/hyperlink" Target="mailto:min@deckerbarbecue.com" TargetMode="External"/><Relationship Id="rId18" Type="http://schemas.openxmlformats.org/officeDocument/2006/relationships/hyperlink" Target="mailto:jessicaelizabeth2019@gmail.com" TargetMode="External"/><Relationship Id="rId3" Type="http://schemas.openxmlformats.org/officeDocument/2006/relationships/hyperlink" Target="mailto:francis_limwei@yahoo.com" TargetMode="External"/><Relationship Id="rId21" Type="http://schemas.openxmlformats.org/officeDocument/2006/relationships/hyperlink" Target="mailto:kieranfoowx@gmail.com" TargetMode="External"/><Relationship Id="rId7" Type="http://schemas.openxmlformats.org/officeDocument/2006/relationships/hyperlink" Target="mailto:boatquay@pitatree.com" TargetMode="External"/><Relationship Id="rId12" Type="http://schemas.openxmlformats.org/officeDocument/2006/relationships/hyperlink" Target="mailto:cynthia@aom.sg" TargetMode="External"/><Relationship Id="rId17" Type="http://schemas.openxmlformats.org/officeDocument/2006/relationships/hyperlink" Target="mailto:rocky@srdd.com" TargetMode="External"/><Relationship Id="rId2" Type="http://schemas.openxmlformats.org/officeDocument/2006/relationships/hyperlink" Target="mailto:abhishek@astreem.com" TargetMode="External"/><Relationship Id="rId16" Type="http://schemas.openxmlformats.org/officeDocument/2006/relationships/hyperlink" Target="mailto:victorkkwong@hotmail.com" TargetMode="External"/><Relationship Id="rId20" Type="http://schemas.openxmlformats.org/officeDocument/2006/relationships/hyperlink" Target="mailto:seantey@gaincity.com" TargetMode="External"/><Relationship Id="rId1" Type="http://schemas.openxmlformats.org/officeDocument/2006/relationships/hyperlink" Target="http://astreem.com/" TargetMode="External"/><Relationship Id="rId6" Type="http://schemas.openxmlformats.org/officeDocument/2006/relationships/hyperlink" Target="mailto:mr.samurai@outlook.com" TargetMode="External"/><Relationship Id="rId11" Type="http://schemas.openxmlformats.org/officeDocument/2006/relationships/hyperlink" Target="mailto:jolene.tan@spa-esprit.com" TargetMode="External"/><Relationship Id="rId5" Type="http://schemas.openxmlformats.org/officeDocument/2006/relationships/hyperlink" Target="mailto:hbzen190@gmail.com" TargetMode="External"/><Relationship Id="rId15" Type="http://schemas.openxmlformats.org/officeDocument/2006/relationships/hyperlink" Target="mailto:amanda@wheelersyard.com" TargetMode="External"/><Relationship Id="rId10" Type="http://schemas.openxmlformats.org/officeDocument/2006/relationships/hyperlink" Target="mailto:cynthia@aom.sg" TargetMode="External"/><Relationship Id="rId19" Type="http://schemas.openxmlformats.org/officeDocument/2006/relationships/hyperlink" Target="mailto:seantey@gaincity.com" TargetMode="External"/><Relationship Id="rId4" Type="http://schemas.openxmlformats.org/officeDocument/2006/relationships/hyperlink" Target="mailto:melvin.ngkh@gmail.com?bcc=5266705@bcc.hubspot.com" TargetMode="External"/><Relationship Id="rId9" Type="http://schemas.openxmlformats.org/officeDocument/2006/relationships/hyperlink" Target="mailto:bob_1113@hotmail.com" TargetMode="External"/><Relationship Id="rId14" Type="http://schemas.openxmlformats.org/officeDocument/2006/relationships/hyperlink" Target="mailto:see.lihui@gmail.com" TargetMode="External"/><Relationship Id="rId22" Type="http://schemas.openxmlformats.org/officeDocument/2006/relationships/hyperlink" Target="mailto:hello@pupperc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38"/>
  <sheetViews>
    <sheetView workbookViewId="0">
      <selection activeCell="D1" sqref="D1"/>
    </sheetView>
  </sheetViews>
  <sheetFormatPr defaultColWidth="12.6328125" defaultRowHeight="15.75" customHeight="1"/>
  <cols>
    <col min="1" max="1" width="34.26953125" customWidth="1"/>
    <col min="2" max="2" width="23.7265625" customWidth="1"/>
    <col min="3" max="3" width="21.26953125" customWidth="1"/>
    <col min="4" max="4" width="34.26953125" customWidth="1"/>
  </cols>
  <sheetData>
    <row r="1" spans="1:4" ht="15.75" customHeight="1">
      <c r="A1" s="1" t="s">
        <v>4388</v>
      </c>
      <c r="B1" s="1" t="s">
        <v>1</v>
      </c>
      <c r="C1" s="1" t="s">
        <v>4389</v>
      </c>
      <c r="D1" s="1" t="s">
        <v>4390</v>
      </c>
    </row>
    <row r="2" spans="1:4" ht="15.75" customHeight="1">
      <c r="A2" s="2" t="s">
        <v>3</v>
      </c>
      <c r="B2" s="2" t="s">
        <v>4</v>
      </c>
      <c r="C2" s="2" t="s">
        <v>5</v>
      </c>
      <c r="D2" s="2">
        <v>62712802</v>
      </c>
    </row>
    <row r="3" spans="1:4" ht="15.75" customHeight="1">
      <c r="A3" s="2" t="s">
        <v>6</v>
      </c>
      <c r="B3" s="2" t="s">
        <v>4</v>
      </c>
      <c r="C3" s="2" t="s">
        <v>7</v>
      </c>
      <c r="D3" s="2">
        <v>81187556</v>
      </c>
    </row>
    <row r="4" spans="1:4" ht="15.75" customHeight="1">
      <c r="A4" s="2" t="s">
        <v>8</v>
      </c>
      <c r="B4" s="2" t="s">
        <v>4</v>
      </c>
      <c r="C4" s="3"/>
      <c r="D4" s="2" t="s">
        <v>9</v>
      </c>
    </row>
    <row r="5" spans="1:4" ht="15.75" customHeight="1">
      <c r="A5" s="2" t="s">
        <v>10</v>
      </c>
      <c r="B5" s="2" t="s">
        <v>4</v>
      </c>
      <c r="C5" s="2" t="s">
        <v>11</v>
      </c>
      <c r="D5" s="2" t="s">
        <v>12</v>
      </c>
    </row>
    <row r="6" spans="1:4" ht="15.75" customHeight="1">
      <c r="A6" s="2" t="s">
        <v>13</v>
      </c>
      <c r="B6" s="2" t="s">
        <v>4</v>
      </c>
      <c r="C6" s="2" t="s">
        <v>14</v>
      </c>
      <c r="D6" s="2">
        <v>83162531</v>
      </c>
    </row>
    <row r="7" spans="1:4" ht="15.75" customHeight="1">
      <c r="A7" s="4" t="s">
        <v>15</v>
      </c>
      <c r="B7" s="2" t="s">
        <v>4</v>
      </c>
      <c r="C7" s="2" t="s">
        <v>16</v>
      </c>
      <c r="D7" s="2">
        <v>90183381</v>
      </c>
    </row>
    <row r="8" spans="1:4" ht="15.75" customHeight="1">
      <c r="A8" s="2" t="s">
        <v>17</v>
      </c>
      <c r="B8" s="2" t="s">
        <v>4</v>
      </c>
      <c r="C8" s="2" t="s">
        <v>18</v>
      </c>
      <c r="D8" s="2">
        <v>87539115</v>
      </c>
    </row>
    <row r="9" spans="1:4" ht="15.75" customHeight="1">
      <c r="A9" s="2" t="s">
        <v>19</v>
      </c>
      <c r="B9" s="2" t="s">
        <v>4</v>
      </c>
      <c r="C9" s="2" t="s">
        <v>20</v>
      </c>
      <c r="D9" s="2">
        <v>80234322</v>
      </c>
    </row>
    <row r="10" spans="1:4" ht="15.75" customHeight="1">
      <c r="A10" s="2" t="s">
        <v>21</v>
      </c>
      <c r="B10" s="2" t="s">
        <v>4</v>
      </c>
      <c r="C10" s="2" t="s">
        <v>22</v>
      </c>
      <c r="D10" s="2">
        <v>81007782</v>
      </c>
    </row>
    <row r="11" spans="1:4" ht="15.75" customHeight="1">
      <c r="A11" s="2" t="s">
        <v>23</v>
      </c>
      <c r="B11" s="2" t="s">
        <v>4</v>
      </c>
      <c r="C11" s="2" t="s">
        <v>24</v>
      </c>
      <c r="D11" s="2">
        <v>90880816</v>
      </c>
    </row>
    <row r="12" spans="1:4" ht="15.75" customHeight="1">
      <c r="A12" s="2" t="s">
        <v>25</v>
      </c>
      <c r="B12" s="2" t="s">
        <v>4</v>
      </c>
      <c r="C12" s="2" t="s">
        <v>26</v>
      </c>
      <c r="D12" s="2">
        <v>90178388</v>
      </c>
    </row>
    <row r="13" spans="1:4" ht="15.75" customHeight="1">
      <c r="A13" s="2" t="s">
        <v>27</v>
      </c>
      <c r="B13" s="2" t="s">
        <v>4</v>
      </c>
      <c r="C13" s="2" t="s">
        <v>28</v>
      </c>
      <c r="D13" s="2">
        <v>85331349</v>
      </c>
    </row>
    <row r="14" spans="1:4" ht="15.75" customHeight="1">
      <c r="A14" s="2" t="s">
        <v>29</v>
      </c>
      <c r="B14" s="2" t="s">
        <v>4</v>
      </c>
      <c r="C14" s="2" t="s">
        <v>30</v>
      </c>
      <c r="D14" s="2">
        <v>17710175605</v>
      </c>
    </row>
    <row r="15" spans="1:4" ht="15.75" customHeight="1">
      <c r="A15" s="2" t="s">
        <v>31</v>
      </c>
      <c r="B15" s="2" t="s">
        <v>4</v>
      </c>
      <c r="C15" s="2" t="s">
        <v>32</v>
      </c>
      <c r="D15" s="2">
        <v>82358315</v>
      </c>
    </row>
    <row r="16" spans="1:4" ht="15.75" customHeight="1">
      <c r="A16" s="2" t="s">
        <v>33</v>
      </c>
      <c r="B16" s="2" t="s">
        <v>4</v>
      </c>
      <c r="C16" s="2" t="s">
        <v>34</v>
      </c>
      <c r="D16" s="2">
        <v>91502380</v>
      </c>
    </row>
    <row r="17" spans="1:4" ht="15.75" customHeight="1">
      <c r="A17" s="2" t="s">
        <v>35</v>
      </c>
      <c r="B17" s="2" t="s">
        <v>4</v>
      </c>
      <c r="C17" s="2" t="s">
        <v>36</v>
      </c>
      <c r="D17" s="2">
        <v>96802445</v>
      </c>
    </row>
    <row r="18" spans="1:4" ht="15.75" customHeight="1">
      <c r="A18" s="2" t="s">
        <v>37</v>
      </c>
      <c r="B18" s="2" t="s">
        <v>4</v>
      </c>
      <c r="C18" s="3"/>
      <c r="D18" s="2">
        <v>96473297</v>
      </c>
    </row>
    <row r="19" spans="1:4" ht="15.75" customHeight="1">
      <c r="A19" s="2" t="s">
        <v>38</v>
      </c>
      <c r="B19" s="2" t="s">
        <v>4</v>
      </c>
      <c r="C19" s="2" t="s">
        <v>39</v>
      </c>
      <c r="D19" s="2">
        <v>98216632</v>
      </c>
    </row>
    <row r="20" spans="1:4" ht="15.75" customHeight="1">
      <c r="A20" s="2" t="s">
        <v>40</v>
      </c>
      <c r="B20" s="2" t="s">
        <v>4</v>
      </c>
      <c r="C20" s="3"/>
      <c r="D20" s="2">
        <v>6596505998</v>
      </c>
    </row>
    <row r="21" spans="1:4" ht="15.75" customHeight="1">
      <c r="A21" s="2" t="s">
        <v>41</v>
      </c>
      <c r="B21" s="2" t="s">
        <v>4</v>
      </c>
      <c r="C21" s="2" t="s">
        <v>42</v>
      </c>
      <c r="D21" s="2">
        <v>85316227</v>
      </c>
    </row>
    <row r="22" spans="1:4" ht="15.75" customHeight="1">
      <c r="A22" s="2" t="s">
        <v>43</v>
      </c>
      <c r="B22" s="2" t="s">
        <v>4</v>
      </c>
      <c r="C22" s="2" t="s">
        <v>44</v>
      </c>
      <c r="D22" s="2">
        <v>93294157</v>
      </c>
    </row>
    <row r="23" spans="1:4" ht="15.75" customHeight="1">
      <c r="A23" s="2" t="s">
        <v>45</v>
      </c>
      <c r="B23" s="2" t="s">
        <v>4</v>
      </c>
      <c r="C23" s="3"/>
      <c r="D23" s="2">
        <f>6591768327</f>
        <v>6591768327</v>
      </c>
    </row>
    <row r="24" spans="1:4" ht="23">
      <c r="A24" s="2" t="s">
        <v>46</v>
      </c>
      <c r="B24" s="2" t="s">
        <v>4</v>
      </c>
      <c r="C24" s="2" t="s">
        <v>47</v>
      </c>
      <c r="D24" s="2">
        <v>85234664</v>
      </c>
    </row>
    <row r="25" spans="1:4" ht="12.5">
      <c r="A25" s="2" t="s">
        <v>48</v>
      </c>
      <c r="B25" s="2" t="s">
        <v>4</v>
      </c>
      <c r="C25" s="2" t="s">
        <v>49</v>
      </c>
      <c r="D25" s="2">
        <v>96419682</v>
      </c>
    </row>
    <row r="26" spans="1:4" ht="23">
      <c r="A26" s="2" t="s">
        <v>50</v>
      </c>
      <c r="B26" s="2" t="s">
        <v>4</v>
      </c>
      <c r="C26" s="2" t="s">
        <v>51</v>
      </c>
      <c r="D26" s="2">
        <v>91826102</v>
      </c>
    </row>
    <row r="27" spans="1:4" ht="23">
      <c r="A27" s="2" t="s">
        <v>52</v>
      </c>
      <c r="B27" s="2" t="s">
        <v>4</v>
      </c>
      <c r="C27" s="2" t="s">
        <v>53</v>
      </c>
      <c r="D27" s="2">
        <v>96321268</v>
      </c>
    </row>
    <row r="28" spans="1:4" ht="23">
      <c r="A28" s="2" t="s">
        <v>54</v>
      </c>
      <c r="B28" s="2" t="s">
        <v>4</v>
      </c>
      <c r="C28" s="2" t="s">
        <v>55</v>
      </c>
      <c r="D28" s="2">
        <v>91384753</v>
      </c>
    </row>
    <row r="29" spans="1:4" ht="12.5">
      <c r="A29" s="2" t="s">
        <v>56</v>
      </c>
      <c r="B29" s="2" t="s">
        <v>4</v>
      </c>
      <c r="C29" s="2" t="s">
        <v>57</v>
      </c>
      <c r="D29" s="2">
        <v>97822661</v>
      </c>
    </row>
    <row r="30" spans="1:4" ht="34.5">
      <c r="A30" s="2" t="s">
        <v>58</v>
      </c>
      <c r="B30" s="2" t="s">
        <v>4</v>
      </c>
      <c r="C30" s="2" t="s">
        <v>59</v>
      </c>
      <c r="D30" s="2">
        <v>6581201900</v>
      </c>
    </row>
    <row r="31" spans="1:4" ht="12.5">
      <c r="A31" s="2" t="s">
        <v>60</v>
      </c>
      <c r="B31" s="2" t="s">
        <v>4</v>
      </c>
      <c r="C31" s="2" t="s">
        <v>61</v>
      </c>
      <c r="D31" s="2">
        <v>92235040</v>
      </c>
    </row>
    <row r="32" spans="1:4" ht="12.5">
      <c r="A32" s="2" t="s">
        <v>62</v>
      </c>
      <c r="B32" s="2" t="s">
        <v>4</v>
      </c>
      <c r="C32" s="3"/>
      <c r="D32" s="2">
        <v>6593391283</v>
      </c>
    </row>
    <row r="33" spans="1:4" ht="23">
      <c r="A33" s="2" t="s">
        <v>63</v>
      </c>
      <c r="B33" s="2" t="s">
        <v>4</v>
      </c>
      <c r="C33" s="2" t="s">
        <v>64</v>
      </c>
      <c r="D33" s="2">
        <v>90499926</v>
      </c>
    </row>
    <row r="34" spans="1:4" ht="23">
      <c r="A34" s="2" t="s">
        <v>65</v>
      </c>
      <c r="B34" s="2" t="s">
        <v>4</v>
      </c>
      <c r="C34" s="2" t="s">
        <v>66</v>
      </c>
      <c r="D34" s="2">
        <v>6590268786</v>
      </c>
    </row>
    <row r="35" spans="1:4" ht="12.5">
      <c r="A35" s="2" t="s">
        <v>67</v>
      </c>
      <c r="B35" s="2" t="s">
        <v>4</v>
      </c>
      <c r="C35" s="2" t="s">
        <v>68</v>
      </c>
      <c r="D35" s="2">
        <v>83682868</v>
      </c>
    </row>
    <row r="36" spans="1:4" ht="23">
      <c r="A36" s="2" t="s">
        <v>69</v>
      </c>
      <c r="B36" s="2" t="s">
        <v>4</v>
      </c>
      <c r="C36" s="2" t="s">
        <v>70</v>
      </c>
      <c r="D36" s="2">
        <v>6596869695</v>
      </c>
    </row>
    <row r="37" spans="1:4" ht="12.5">
      <c r="A37" s="2" t="s">
        <v>71</v>
      </c>
      <c r="B37" s="2" t="s">
        <v>4</v>
      </c>
      <c r="C37" s="2" t="s">
        <v>72</v>
      </c>
      <c r="D37" s="3"/>
    </row>
    <row r="38" spans="1:4" ht="12.5">
      <c r="A38" s="2" t="s">
        <v>73</v>
      </c>
      <c r="B38" s="2" t="s">
        <v>4</v>
      </c>
      <c r="C38" s="2" t="s">
        <v>74</v>
      </c>
      <c r="D38" s="2" t="s">
        <v>75</v>
      </c>
    </row>
    <row r="39" spans="1:4" ht="34.5">
      <c r="A39" s="2" t="s">
        <v>76</v>
      </c>
      <c r="B39" s="2" t="s">
        <v>4</v>
      </c>
      <c r="C39" s="2" t="s">
        <v>77</v>
      </c>
      <c r="D39" s="2">
        <v>94781394</v>
      </c>
    </row>
    <row r="40" spans="1:4" ht="34.5">
      <c r="A40" s="2" t="s">
        <v>78</v>
      </c>
      <c r="B40" s="2" t="s">
        <v>4</v>
      </c>
      <c r="C40" s="3"/>
      <c r="D40" s="2">
        <v>6590215915</v>
      </c>
    </row>
    <row r="41" spans="1:4" ht="23">
      <c r="A41" s="2" t="s">
        <v>79</v>
      </c>
      <c r="B41" s="2" t="s">
        <v>4</v>
      </c>
      <c r="C41" s="2" t="s">
        <v>80</v>
      </c>
      <c r="D41" s="2">
        <v>86531214</v>
      </c>
    </row>
    <row r="42" spans="1:4" ht="23">
      <c r="A42" s="2" t="s">
        <v>81</v>
      </c>
      <c r="B42" s="2" t="s">
        <v>4</v>
      </c>
      <c r="C42" s="2" t="s">
        <v>82</v>
      </c>
      <c r="D42" s="2">
        <v>97710388</v>
      </c>
    </row>
    <row r="43" spans="1:4" ht="12.5">
      <c r="A43" s="2" t="s">
        <v>83</v>
      </c>
      <c r="B43" s="2" t="s">
        <v>4</v>
      </c>
      <c r="C43" s="2" t="s">
        <v>84</v>
      </c>
      <c r="D43" s="2">
        <v>81892662</v>
      </c>
    </row>
    <row r="44" spans="1:4" ht="23">
      <c r="A44" s="2" t="s">
        <v>85</v>
      </c>
      <c r="B44" s="2" t="s">
        <v>4</v>
      </c>
      <c r="C44" s="3"/>
      <c r="D44" s="2" t="s">
        <v>86</v>
      </c>
    </row>
    <row r="45" spans="1:4" ht="12.5">
      <c r="A45" s="2" t="s">
        <v>87</v>
      </c>
      <c r="B45" s="2" t="s">
        <v>4</v>
      </c>
      <c r="C45" s="2" t="s">
        <v>88</v>
      </c>
      <c r="D45" s="2">
        <v>92518969</v>
      </c>
    </row>
    <row r="46" spans="1:4" ht="12.5">
      <c r="A46" s="2" t="s">
        <v>89</v>
      </c>
      <c r="B46" s="2" t="s">
        <v>4</v>
      </c>
      <c r="C46" s="2" t="s">
        <v>90</v>
      </c>
      <c r="D46" s="2">
        <v>67437885</v>
      </c>
    </row>
    <row r="47" spans="1:4" ht="23">
      <c r="A47" s="2" t="s">
        <v>91</v>
      </c>
      <c r="B47" s="2" t="s">
        <v>4</v>
      </c>
      <c r="C47" s="3"/>
      <c r="D47" s="2">
        <v>6587120589</v>
      </c>
    </row>
    <row r="48" spans="1:4" ht="23">
      <c r="A48" s="2" t="s">
        <v>92</v>
      </c>
      <c r="B48" s="2" t="s">
        <v>4</v>
      </c>
      <c r="C48" s="2" t="s">
        <v>93</v>
      </c>
      <c r="D48" s="2">
        <v>82306652</v>
      </c>
    </row>
    <row r="49" spans="1:4" ht="12.5">
      <c r="A49" s="2" t="s">
        <v>94</v>
      </c>
      <c r="B49" s="2" t="s">
        <v>4</v>
      </c>
      <c r="C49" s="2" t="s">
        <v>95</v>
      </c>
      <c r="D49" s="2" t="s">
        <v>96</v>
      </c>
    </row>
    <row r="50" spans="1:4" ht="23">
      <c r="A50" s="2" t="s">
        <v>97</v>
      </c>
      <c r="B50" s="2" t="s">
        <v>4</v>
      </c>
      <c r="C50" s="2" t="s">
        <v>98</v>
      </c>
      <c r="D50" s="2">
        <v>97378573</v>
      </c>
    </row>
    <row r="51" spans="1:4" ht="23">
      <c r="A51" s="2" t="s">
        <v>99</v>
      </c>
      <c r="B51" s="2" t="s">
        <v>4</v>
      </c>
      <c r="C51" s="2" t="s">
        <v>100</v>
      </c>
      <c r="D51" s="2">
        <v>93801799</v>
      </c>
    </row>
    <row r="52" spans="1:4" ht="23">
      <c r="A52" s="2" t="s">
        <v>101</v>
      </c>
      <c r="B52" s="2" t="s">
        <v>4</v>
      </c>
      <c r="C52" s="2" t="s">
        <v>102</v>
      </c>
      <c r="D52" s="2" t="s">
        <v>103</v>
      </c>
    </row>
    <row r="53" spans="1:4" ht="23">
      <c r="A53" s="2" t="s">
        <v>104</v>
      </c>
      <c r="B53" s="2" t="s">
        <v>4</v>
      </c>
      <c r="C53" s="2" t="s">
        <v>105</v>
      </c>
      <c r="D53" s="2">
        <v>82923195</v>
      </c>
    </row>
    <row r="54" spans="1:4" ht="23">
      <c r="A54" s="2" t="s">
        <v>106</v>
      </c>
      <c r="B54" s="2" t="s">
        <v>4</v>
      </c>
      <c r="C54" s="2" t="s">
        <v>107</v>
      </c>
      <c r="D54" s="2">
        <v>98360580</v>
      </c>
    </row>
    <row r="55" spans="1:4" ht="23">
      <c r="A55" s="2" t="s">
        <v>108</v>
      </c>
      <c r="B55" s="2" t="s">
        <v>4</v>
      </c>
      <c r="C55" s="2" t="s">
        <v>109</v>
      </c>
      <c r="D55" s="2" t="s">
        <v>110</v>
      </c>
    </row>
    <row r="56" spans="1:4" ht="23">
      <c r="A56" s="2" t="s">
        <v>111</v>
      </c>
      <c r="B56" s="2" t="s">
        <v>4</v>
      </c>
      <c r="C56" s="2" t="s">
        <v>112</v>
      </c>
      <c r="D56" s="2">
        <v>94891303</v>
      </c>
    </row>
    <row r="57" spans="1:4" ht="12.5">
      <c r="A57" s="2" t="s">
        <v>113</v>
      </c>
      <c r="B57" s="2" t="s">
        <v>4</v>
      </c>
      <c r="C57" s="2" t="s">
        <v>114</v>
      </c>
      <c r="D57" s="2">
        <v>93234585</v>
      </c>
    </row>
    <row r="58" spans="1:4" ht="34.5">
      <c r="A58" s="2" t="s">
        <v>115</v>
      </c>
      <c r="B58" s="2" t="s">
        <v>4</v>
      </c>
      <c r="C58" s="3"/>
      <c r="D58" s="5" t="s">
        <v>116</v>
      </c>
    </row>
    <row r="59" spans="1:4" ht="12.5">
      <c r="A59" s="2" t="s">
        <v>117</v>
      </c>
      <c r="B59" s="2" t="s">
        <v>4</v>
      </c>
      <c r="C59" s="2" t="s">
        <v>118</v>
      </c>
      <c r="D59" s="2">
        <v>85690443</v>
      </c>
    </row>
    <row r="60" spans="1:4" ht="23">
      <c r="A60" s="2" t="s">
        <v>119</v>
      </c>
      <c r="B60" s="2" t="s">
        <v>4</v>
      </c>
      <c r="C60" s="2" t="s">
        <v>120</v>
      </c>
      <c r="D60" s="2">
        <v>96623401</v>
      </c>
    </row>
    <row r="61" spans="1:4" ht="23">
      <c r="A61" s="2" t="s">
        <v>121</v>
      </c>
      <c r="B61" s="2" t="s">
        <v>4</v>
      </c>
      <c r="C61" s="2" t="s">
        <v>122</v>
      </c>
      <c r="D61" s="2">
        <v>91113931</v>
      </c>
    </row>
    <row r="62" spans="1:4" ht="12.5">
      <c r="A62" s="2" t="s">
        <v>123</v>
      </c>
      <c r="B62" s="2" t="s">
        <v>4</v>
      </c>
      <c r="C62" s="2" t="s">
        <v>124</v>
      </c>
      <c r="D62" s="2" t="s">
        <v>125</v>
      </c>
    </row>
    <row r="63" spans="1:4" ht="23">
      <c r="A63" s="2" t="s">
        <v>126</v>
      </c>
      <c r="B63" s="2" t="s">
        <v>4</v>
      </c>
      <c r="C63" s="2" t="s">
        <v>127</v>
      </c>
      <c r="D63" s="2">
        <v>7678937</v>
      </c>
    </row>
    <row r="64" spans="1:4" ht="12.5">
      <c r="A64" s="2" t="s">
        <v>128</v>
      </c>
      <c r="B64" s="2" t="s">
        <v>4</v>
      </c>
      <c r="C64" s="2" t="s">
        <v>129</v>
      </c>
      <c r="D64" s="2">
        <v>94788285</v>
      </c>
    </row>
    <row r="65" spans="1:4" ht="12.5">
      <c r="A65" s="2" t="s">
        <v>130</v>
      </c>
      <c r="B65" s="2" t="s">
        <v>4</v>
      </c>
      <c r="C65" s="2" t="s">
        <v>131</v>
      </c>
      <c r="D65" s="2">
        <v>90480978</v>
      </c>
    </row>
    <row r="66" spans="1:4" ht="23">
      <c r="A66" s="2" t="s">
        <v>132</v>
      </c>
      <c r="B66" s="2" t="s">
        <v>4</v>
      </c>
      <c r="C66" s="2" t="s">
        <v>133</v>
      </c>
      <c r="D66" s="2" t="s">
        <v>134</v>
      </c>
    </row>
    <row r="67" spans="1:4" ht="12.5">
      <c r="A67" s="2" t="s">
        <v>135</v>
      </c>
      <c r="B67" s="2" t="s">
        <v>4</v>
      </c>
      <c r="C67" s="3"/>
      <c r="D67" s="2" t="s">
        <v>136</v>
      </c>
    </row>
    <row r="68" spans="1:4" ht="23">
      <c r="A68" s="2" t="s">
        <v>137</v>
      </c>
      <c r="B68" s="2" t="s">
        <v>4</v>
      </c>
      <c r="C68" s="2" t="s">
        <v>138</v>
      </c>
      <c r="D68" s="3"/>
    </row>
    <row r="69" spans="1:4" ht="12.5">
      <c r="A69" s="2" t="s">
        <v>139</v>
      </c>
      <c r="B69" s="2" t="s">
        <v>4</v>
      </c>
      <c r="C69" s="2" t="s">
        <v>140</v>
      </c>
      <c r="D69" s="2">
        <v>98207882</v>
      </c>
    </row>
    <row r="70" spans="1:4" ht="12.5">
      <c r="A70" s="2" t="s">
        <v>141</v>
      </c>
      <c r="B70" s="2" t="s">
        <v>4</v>
      </c>
      <c r="C70" s="3"/>
      <c r="D70" s="2" t="s">
        <v>142</v>
      </c>
    </row>
    <row r="71" spans="1:4" ht="23">
      <c r="A71" s="2" t="s">
        <v>143</v>
      </c>
      <c r="B71" s="2" t="s">
        <v>4</v>
      </c>
      <c r="C71" s="2" t="s">
        <v>144</v>
      </c>
      <c r="D71" s="2">
        <v>96574938</v>
      </c>
    </row>
    <row r="72" spans="1:4" ht="23">
      <c r="A72" s="2" t="s">
        <v>145</v>
      </c>
      <c r="B72" s="2" t="s">
        <v>4</v>
      </c>
      <c r="C72" s="2" t="s">
        <v>146</v>
      </c>
      <c r="D72" s="2">
        <v>88764958</v>
      </c>
    </row>
    <row r="73" spans="1:4" ht="12.5">
      <c r="A73" s="2" t="s">
        <v>147</v>
      </c>
      <c r="B73" s="2" t="s">
        <v>4</v>
      </c>
      <c r="C73" s="6" t="s">
        <v>148</v>
      </c>
      <c r="D73" s="3"/>
    </row>
    <row r="74" spans="1:4" ht="23">
      <c r="A74" s="2" t="s">
        <v>149</v>
      </c>
      <c r="B74" s="2" t="s">
        <v>4</v>
      </c>
      <c r="C74" s="2" t="s">
        <v>150</v>
      </c>
      <c r="D74" s="2">
        <v>92724561</v>
      </c>
    </row>
    <row r="75" spans="1:4" ht="23">
      <c r="A75" s="2" t="s">
        <v>151</v>
      </c>
      <c r="B75" s="2" t="s">
        <v>4</v>
      </c>
      <c r="C75" s="2" t="s">
        <v>152</v>
      </c>
      <c r="D75" s="2">
        <v>92388109</v>
      </c>
    </row>
    <row r="76" spans="1:4" ht="23">
      <c r="A76" s="2" t="s">
        <v>153</v>
      </c>
      <c r="B76" s="2" t="s">
        <v>4</v>
      </c>
      <c r="C76" s="2" t="s">
        <v>154</v>
      </c>
      <c r="D76" s="2">
        <v>83918989</v>
      </c>
    </row>
    <row r="77" spans="1:4" ht="12.5">
      <c r="A77" s="2" t="s">
        <v>155</v>
      </c>
      <c r="B77" s="2" t="s">
        <v>4</v>
      </c>
      <c r="C77" s="2" t="s">
        <v>156</v>
      </c>
      <c r="D77" s="2">
        <v>88028459</v>
      </c>
    </row>
    <row r="78" spans="1:4" ht="23">
      <c r="A78" s="2" t="s">
        <v>157</v>
      </c>
      <c r="B78" s="2" t="s">
        <v>4</v>
      </c>
      <c r="C78" s="2" t="s">
        <v>158</v>
      </c>
      <c r="D78" s="2" t="s">
        <v>159</v>
      </c>
    </row>
    <row r="79" spans="1:4" ht="23">
      <c r="A79" s="2" t="s">
        <v>160</v>
      </c>
      <c r="B79" s="2" t="s">
        <v>4</v>
      </c>
      <c r="C79" s="7" t="s">
        <v>161</v>
      </c>
      <c r="D79" s="8">
        <v>81569010</v>
      </c>
    </row>
    <row r="80" spans="1:4" ht="23">
      <c r="A80" s="2" t="s">
        <v>162</v>
      </c>
      <c r="B80" s="2" t="s">
        <v>4</v>
      </c>
      <c r="C80" s="2" t="s">
        <v>163</v>
      </c>
      <c r="D80" s="2" t="s">
        <v>164</v>
      </c>
    </row>
    <row r="81" spans="1:4" ht="12.5">
      <c r="A81" s="2" t="s">
        <v>165</v>
      </c>
      <c r="B81" s="2" t="s">
        <v>4</v>
      </c>
      <c r="C81" s="3"/>
      <c r="D81" s="2" t="s">
        <v>166</v>
      </c>
    </row>
    <row r="82" spans="1:4" ht="12.5">
      <c r="A82" s="2" t="s">
        <v>167</v>
      </c>
      <c r="B82" s="2" t="s">
        <v>4</v>
      </c>
      <c r="C82" s="3"/>
      <c r="D82" s="2" t="s">
        <v>168</v>
      </c>
    </row>
    <row r="83" spans="1:4" ht="23">
      <c r="A83" s="9" t="s">
        <v>169</v>
      </c>
      <c r="B83" s="2" t="s">
        <v>4</v>
      </c>
      <c r="C83" s="5" t="s">
        <v>170</v>
      </c>
      <c r="D83" s="3"/>
    </row>
    <row r="84" spans="1:4" ht="23">
      <c r="A84" s="2" t="s">
        <v>171</v>
      </c>
      <c r="B84" s="2" t="s">
        <v>4</v>
      </c>
      <c r="C84" s="2" t="s">
        <v>172</v>
      </c>
      <c r="D84" s="8">
        <f>6590053482</f>
        <v>6590053482</v>
      </c>
    </row>
    <row r="85" spans="1:4" ht="12.5">
      <c r="A85" s="2" t="s">
        <v>173</v>
      </c>
      <c r="B85" s="2" t="s">
        <v>4</v>
      </c>
      <c r="C85" s="2" t="s">
        <v>174</v>
      </c>
      <c r="D85" s="2">
        <v>91274270</v>
      </c>
    </row>
    <row r="86" spans="1:4" ht="12.5">
      <c r="A86" s="2" t="s">
        <v>175</v>
      </c>
      <c r="B86" s="2" t="s">
        <v>4</v>
      </c>
      <c r="C86" s="3"/>
      <c r="D86" s="2" t="s">
        <v>176</v>
      </c>
    </row>
    <row r="87" spans="1:4" ht="12.5">
      <c r="A87" s="2" t="s">
        <v>177</v>
      </c>
      <c r="B87" s="2" t="s">
        <v>4</v>
      </c>
      <c r="C87" s="3"/>
      <c r="D87" s="2" t="s">
        <v>178</v>
      </c>
    </row>
    <row r="88" spans="1:4" ht="23">
      <c r="A88" s="2" t="s">
        <v>179</v>
      </c>
      <c r="B88" s="2" t="s">
        <v>4</v>
      </c>
      <c r="C88" s="3"/>
      <c r="D88" s="5" t="s">
        <v>180</v>
      </c>
    </row>
    <row r="89" spans="1:4" ht="12.5">
      <c r="A89" s="2" t="s">
        <v>181</v>
      </c>
      <c r="B89" s="2" t="s">
        <v>4</v>
      </c>
      <c r="C89" s="3"/>
      <c r="D89" s="2" t="s">
        <v>182</v>
      </c>
    </row>
    <row r="90" spans="1:4" ht="23">
      <c r="A90" s="2" t="s">
        <v>183</v>
      </c>
      <c r="B90" s="2" t="s">
        <v>4</v>
      </c>
      <c r="C90" s="3"/>
      <c r="D90" s="2" t="s">
        <v>184</v>
      </c>
    </row>
    <row r="91" spans="1:4" ht="23">
      <c r="A91" s="2" t="s">
        <v>185</v>
      </c>
      <c r="B91" s="2" t="s">
        <v>4</v>
      </c>
      <c r="C91" s="2" t="s">
        <v>186</v>
      </c>
      <c r="D91" s="2">
        <v>92725571</v>
      </c>
    </row>
    <row r="92" spans="1:4" ht="23">
      <c r="A92" s="2" t="s">
        <v>187</v>
      </c>
      <c r="B92" s="2" t="s">
        <v>4</v>
      </c>
      <c r="C92" s="2" t="s">
        <v>188</v>
      </c>
      <c r="D92" s="2">
        <v>98393958</v>
      </c>
    </row>
    <row r="93" spans="1:4" ht="23">
      <c r="A93" s="2" t="s">
        <v>189</v>
      </c>
      <c r="B93" s="2" t="s">
        <v>4</v>
      </c>
      <c r="C93" s="2" t="s">
        <v>190</v>
      </c>
      <c r="D93" s="2">
        <v>91837875</v>
      </c>
    </row>
    <row r="94" spans="1:4" ht="23">
      <c r="A94" s="2" t="s">
        <v>191</v>
      </c>
      <c r="B94" s="2" t="s">
        <v>4</v>
      </c>
      <c r="C94" s="2" t="s">
        <v>192</v>
      </c>
      <c r="D94" s="2">
        <v>82693612</v>
      </c>
    </row>
    <row r="95" spans="1:4" ht="12.5">
      <c r="A95" s="2" t="s">
        <v>193</v>
      </c>
      <c r="B95" s="2" t="s">
        <v>4</v>
      </c>
      <c r="C95" s="2" t="s">
        <v>194</v>
      </c>
      <c r="D95" s="2">
        <v>96674849</v>
      </c>
    </row>
    <row r="96" spans="1:4" ht="23">
      <c r="A96" s="2" t="s">
        <v>195</v>
      </c>
      <c r="B96" s="2" t="s">
        <v>4</v>
      </c>
      <c r="C96" s="2" t="s">
        <v>196</v>
      </c>
      <c r="D96" s="2">
        <v>96575501</v>
      </c>
    </row>
    <row r="97" spans="1:4" ht="23">
      <c r="A97" s="2" t="s">
        <v>197</v>
      </c>
      <c r="B97" s="2" t="s">
        <v>4</v>
      </c>
      <c r="C97" s="2" t="s">
        <v>198</v>
      </c>
      <c r="D97" s="2">
        <v>84816938</v>
      </c>
    </row>
    <row r="98" spans="1:4" ht="23">
      <c r="A98" s="2" t="s">
        <v>199</v>
      </c>
      <c r="B98" s="2" t="s">
        <v>4</v>
      </c>
      <c r="C98" s="2" t="s">
        <v>200</v>
      </c>
      <c r="D98" s="3"/>
    </row>
    <row r="99" spans="1:4" ht="23">
      <c r="A99" s="2" t="s">
        <v>201</v>
      </c>
      <c r="B99" s="2" t="s">
        <v>4</v>
      </c>
      <c r="C99" s="2" t="s">
        <v>202</v>
      </c>
      <c r="D99" s="2">
        <v>83882856</v>
      </c>
    </row>
    <row r="100" spans="1:4" ht="12.5">
      <c r="A100" s="2" t="s">
        <v>203</v>
      </c>
      <c r="B100" s="2" t="s">
        <v>4</v>
      </c>
      <c r="C100" s="2" t="s">
        <v>204</v>
      </c>
      <c r="D100" s="2">
        <v>6584237198</v>
      </c>
    </row>
    <row r="101" spans="1:4" ht="34.5">
      <c r="A101" s="2" t="s">
        <v>205</v>
      </c>
      <c r="B101" s="2" t="s">
        <v>4</v>
      </c>
      <c r="C101" s="2" t="s">
        <v>206</v>
      </c>
      <c r="D101" s="2">
        <v>6591068949</v>
      </c>
    </row>
    <row r="102" spans="1:4" ht="23">
      <c r="A102" s="2" t="s">
        <v>207</v>
      </c>
      <c r="B102" s="2" t="s">
        <v>4</v>
      </c>
      <c r="C102" s="2" t="s">
        <v>208</v>
      </c>
      <c r="D102" s="2">
        <v>82013688</v>
      </c>
    </row>
    <row r="103" spans="1:4" ht="23">
      <c r="A103" s="2" t="s">
        <v>209</v>
      </c>
      <c r="B103" s="2" t="s">
        <v>4</v>
      </c>
      <c r="C103" s="3"/>
      <c r="D103" s="5" t="s">
        <v>210</v>
      </c>
    </row>
    <row r="104" spans="1:4" ht="12.5">
      <c r="A104" s="2" t="s">
        <v>211</v>
      </c>
      <c r="B104" s="2" t="s">
        <v>4</v>
      </c>
      <c r="C104" s="2" t="s">
        <v>212</v>
      </c>
      <c r="D104" s="2">
        <v>83153326</v>
      </c>
    </row>
    <row r="105" spans="1:4" ht="23">
      <c r="A105" s="2" t="s">
        <v>213</v>
      </c>
      <c r="B105" s="2" t="s">
        <v>4</v>
      </c>
      <c r="C105" s="2" t="s">
        <v>214</v>
      </c>
      <c r="D105" s="2">
        <v>96963684</v>
      </c>
    </row>
    <row r="106" spans="1:4" ht="12.5">
      <c r="A106" s="2" t="s">
        <v>215</v>
      </c>
      <c r="B106" s="2" t="s">
        <v>4</v>
      </c>
      <c r="C106" s="3"/>
      <c r="D106" s="2" t="s">
        <v>216</v>
      </c>
    </row>
    <row r="107" spans="1:4" ht="23">
      <c r="A107" s="2" t="s">
        <v>217</v>
      </c>
      <c r="B107" s="2" t="s">
        <v>4</v>
      </c>
      <c r="C107" s="2" t="s">
        <v>218</v>
      </c>
      <c r="D107" s="2">
        <v>91766939</v>
      </c>
    </row>
    <row r="108" spans="1:4" ht="23">
      <c r="A108" s="2" t="s">
        <v>219</v>
      </c>
      <c r="B108" s="2" t="s">
        <v>4</v>
      </c>
      <c r="C108" s="3"/>
      <c r="D108" s="2" t="s">
        <v>220</v>
      </c>
    </row>
    <row r="109" spans="1:4" ht="23">
      <c r="A109" s="2" t="s">
        <v>221</v>
      </c>
      <c r="B109" s="2" t="s">
        <v>4</v>
      </c>
      <c r="C109" s="3"/>
      <c r="D109" s="2" t="s">
        <v>222</v>
      </c>
    </row>
    <row r="110" spans="1:4" ht="12.5">
      <c r="A110" s="2" t="s">
        <v>223</v>
      </c>
      <c r="B110" s="2" t="s">
        <v>4</v>
      </c>
      <c r="C110" s="2" t="s">
        <v>224</v>
      </c>
      <c r="D110" s="2">
        <v>91158251</v>
      </c>
    </row>
    <row r="111" spans="1:4" ht="12.5">
      <c r="A111" s="2" t="s">
        <v>225</v>
      </c>
      <c r="B111" s="2" t="s">
        <v>4</v>
      </c>
      <c r="C111" s="2" t="s">
        <v>226</v>
      </c>
      <c r="D111" s="2" t="s">
        <v>227</v>
      </c>
    </row>
    <row r="112" spans="1:4" ht="23">
      <c r="A112" s="2" t="s">
        <v>228</v>
      </c>
      <c r="B112" s="2" t="s">
        <v>4</v>
      </c>
      <c r="C112" s="3"/>
      <c r="D112" s="2" t="s">
        <v>229</v>
      </c>
    </row>
    <row r="113" spans="1:4" ht="12.5">
      <c r="A113" s="2" t="s">
        <v>230</v>
      </c>
      <c r="B113" s="2" t="s">
        <v>4</v>
      </c>
      <c r="C113" s="2" t="s">
        <v>231</v>
      </c>
      <c r="D113" s="2">
        <v>6584024615</v>
      </c>
    </row>
    <row r="114" spans="1:4" ht="23">
      <c r="A114" s="2" t="s">
        <v>232</v>
      </c>
      <c r="B114" s="2" t="s">
        <v>4</v>
      </c>
      <c r="C114" s="2" t="s">
        <v>233</v>
      </c>
      <c r="D114" s="2">
        <v>91807918</v>
      </c>
    </row>
    <row r="115" spans="1:4" ht="23">
      <c r="A115" s="2" t="s">
        <v>234</v>
      </c>
      <c r="B115" s="2" t="s">
        <v>4</v>
      </c>
      <c r="C115" s="3"/>
      <c r="D115" s="2" t="s">
        <v>235</v>
      </c>
    </row>
    <row r="116" spans="1:4" ht="12.5">
      <c r="A116" s="2" t="s">
        <v>236</v>
      </c>
      <c r="B116" s="2" t="s">
        <v>4</v>
      </c>
      <c r="C116" s="2" t="s">
        <v>237</v>
      </c>
      <c r="D116" s="2">
        <v>83865375</v>
      </c>
    </row>
    <row r="117" spans="1:4" ht="12.5">
      <c r="A117" s="2" t="s">
        <v>238</v>
      </c>
      <c r="B117" s="2" t="s">
        <v>4</v>
      </c>
      <c r="C117" s="3"/>
      <c r="D117" s="2" t="s">
        <v>239</v>
      </c>
    </row>
    <row r="118" spans="1:4" ht="23">
      <c r="A118" s="2" t="s">
        <v>240</v>
      </c>
      <c r="B118" s="2" t="s">
        <v>4</v>
      </c>
      <c r="C118" s="2" t="s">
        <v>241</v>
      </c>
      <c r="D118" s="2">
        <v>83882198</v>
      </c>
    </row>
    <row r="119" spans="1:4" ht="12.5">
      <c r="A119" s="2" t="s">
        <v>242</v>
      </c>
      <c r="B119" s="2" t="s">
        <v>4</v>
      </c>
      <c r="C119" s="2" t="s">
        <v>243</v>
      </c>
      <c r="D119" s="4">
        <v>81134501</v>
      </c>
    </row>
    <row r="120" spans="1:4" ht="12.5">
      <c r="A120" s="2" t="s">
        <v>244</v>
      </c>
      <c r="B120" s="2" t="s">
        <v>4</v>
      </c>
      <c r="C120" s="2" t="s">
        <v>245</v>
      </c>
      <c r="D120" s="2">
        <v>94578457</v>
      </c>
    </row>
    <row r="121" spans="1:4" ht="23">
      <c r="A121" s="2" t="s">
        <v>246</v>
      </c>
      <c r="B121" s="2" t="s">
        <v>4</v>
      </c>
      <c r="C121" s="2" t="s">
        <v>247</v>
      </c>
      <c r="D121" s="2">
        <v>96860607</v>
      </c>
    </row>
    <row r="122" spans="1:4" ht="12.5">
      <c r="A122" s="2" t="s">
        <v>248</v>
      </c>
      <c r="B122" s="2" t="s">
        <v>4</v>
      </c>
      <c r="C122" s="2" t="s">
        <v>249</v>
      </c>
      <c r="D122" s="2">
        <v>81231254</v>
      </c>
    </row>
    <row r="123" spans="1:4" ht="23">
      <c r="A123" s="2" t="s">
        <v>250</v>
      </c>
      <c r="B123" s="2" t="s">
        <v>4</v>
      </c>
      <c r="C123" s="2" t="s">
        <v>251</v>
      </c>
      <c r="D123" s="2">
        <v>92356640</v>
      </c>
    </row>
    <row r="124" spans="1:4" ht="23">
      <c r="A124" s="2" t="s">
        <v>252</v>
      </c>
      <c r="B124" s="2" t="s">
        <v>4</v>
      </c>
      <c r="C124" s="3"/>
      <c r="D124" s="2" t="s">
        <v>253</v>
      </c>
    </row>
    <row r="125" spans="1:4" ht="12.5">
      <c r="A125" s="2" t="s">
        <v>254</v>
      </c>
      <c r="B125" s="2" t="s">
        <v>4</v>
      </c>
      <c r="C125" s="2" t="s">
        <v>255</v>
      </c>
      <c r="D125" s="2">
        <v>88200151</v>
      </c>
    </row>
    <row r="126" spans="1:4" ht="23">
      <c r="A126" s="2" t="s">
        <v>256</v>
      </c>
      <c r="B126" s="2" t="s">
        <v>4</v>
      </c>
      <c r="C126" s="2" t="s">
        <v>257</v>
      </c>
      <c r="D126" s="2">
        <v>97736311</v>
      </c>
    </row>
    <row r="127" spans="1:4" ht="12.5">
      <c r="A127" s="2" t="s">
        <v>258</v>
      </c>
      <c r="B127" s="2" t="s">
        <v>4</v>
      </c>
      <c r="C127" s="2" t="s">
        <v>259</v>
      </c>
      <c r="D127" s="8">
        <v>94774610</v>
      </c>
    </row>
    <row r="128" spans="1:4" ht="12.5">
      <c r="A128" s="2" t="s">
        <v>260</v>
      </c>
      <c r="B128" s="2" t="s">
        <v>4</v>
      </c>
      <c r="C128" s="2" t="s">
        <v>261</v>
      </c>
      <c r="D128" s="2">
        <v>88780624</v>
      </c>
    </row>
    <row r="129" spans="1:4" ht="23">
      <c r="A129" s="2" t="s">
        <v>262</v>
      </c>
      <c r="B129" s="2" t="s">
        <v>4</v>
      </c>
      <c r="C129" s="2" t="s">
        <v>263</v>
      </c>
      <c r="D129" s="2">
        <v>94855585</v>
      </c>
    </row>
    <row r="130" spans="1:4" ht="12.5">
      <c r="A130" s="2" t="s">
        <v>264</v>
      </c>
      <c r="B130" s="2" t="s">
        <v>4</v>
      </c>
      <c r="C130" s="3"/>
      <c r="D130" s="2" t="s">
        <v>136</v>
      </c>
    </row>
    <row r="131" spans="1:4" ht="23">
      <c r="A131" s="2" t="s">
        <v>265</v>
      </c>
      <c r="B131" s="2" t="s">
        <v>4</v>
      </c>
      <c r="C131" s="3"/>
      <c r="D131" s="4">
        <v>97516107</v>
      </c>
    </row>
    <row r="132" spans="1:4" ht="34.5">
      <c r="A132" s="2" t="s">
        <v>266</v>
      </c>
      <c r="B132" s="2" t="s">
        <v>4</v>
      </c>
      <c r="C132" s="3"/>
      <c r="D132" s="2" t="s">
        <v>267</v>
      </c>
    </row>
    <row r="133" spans="1:4" ht="23">
      <c r="A133" s="2" t="s">
        <v>268</v>
      </c>
      <c r="B133" s="2" t="s">
        <v>4</v>
      </c>
      <c r="C133" s="2" t="s">
        <v>269</v>
      </c>
      <c r="D133" s="2">
        <v>92385013</v>
      </c>
    </row>
    <row r="134" spans="1:4" ht="12.5">
      <c r="A134" s="10" t="s">
        <v>270</v>
      </c>
      <c r="B134" s="10" t="s">
        <v>4</v>
      </c>
      <c r="C134" s="3"/>
      <c r="D134" s="10">
        <v>85242144</v>
      </c>
    </row>
    <row r="135" spans="1:4" ht="25">
      <c r="A135" s="10" t="s">
        <v>271</v>
      </c>
      <c r="B135" s="10" t="s">
        <v>4</v>
      </c>
      <c r="C135" s="10" t="s">
        <v>272</v>
      </c>
      <c r="D135" s="10">
        <v>93808777</v>
      </c>
    </row>
    <row r="136" spans="1:4" ht="26">
      <c r="A136" s="10" t="s">
        <v>273</v>
      </c>
      <c r="B136" s="10" t="s">
        <v>4</v>
      </c>
      <c r="C136" s="10" t="s">
        <v>274</v>
      </c>
      <c r="D136" s="11">
        <v>82862128</v>
      </c>
    </row>
    <row r="137" spans="1:4" ht="37.5">
      <c r="A137" s="10" t="s">
        <v>275</v>
      </c>
      <c r="B137" s="10" t="s">
        <v>4</v>
      </c>
      <c r="C137" s="10" t="s">
        <v>276</v>
      </c>
      <c r="D137" s="10">
        <v>97267198</v>
      </c>
    </row>
    <row r="138" spans="1:4" ht="25">
      <c r="A138" s="10" t="s">
        <v>277</v>
      </c>
      <c r="B138" s="10" t="s">
        <v>4</v>
      </c>
      <c r="C138" s="10" t="s">
        <v>278</v>
      </c>
      <c r="D138" s="10">
        <v>96801564</v>
      </c>
    </row>
    <row r="139" spans="1:4" ht="25">
      <c r="A139" s="10" t="s">
        <v>279</v>
      </c>
      <c r="B139" s="10" t="s">
        <v>4</v>
      </c>
      <c r="C139" s="10" t="s">
        <v>280</v>
      </c>
      <c r="D139" s="10">
        <v>96608903</v>
      </c>
    </row>
    <row r="140" spans="1:4" ht="25">
      <c r="A140" s="10" t="s">
        <v>281</v>
      </c>
      <c r="B140" s="10" t="s">
        <v>4</v>
      </c>
      <c r="C140" s="10" t="s">
        <v>282</v>
      </c>
      <c r="D140" s="10">
        <v>97495989</v>
      </c>
    </row>
    <row r="141" spans="1:4" ht="12.5">
      <c r="A141" s="10" t="s">
        <v>283</v>
      </c>
      <c r="B141" s="10" t="s">
        <v>4</v>
      </c>
      <c r="C141" s="10" t="s">
        <v>284</v>
      </c>
      <c r="D141" s="10">
        <v>82009791</v>
      </c>
    </row>
    <row r="142" spans="1:4" ht="37.5">
      <c r="A142" s="10" t="s">
        <v>285</v>
      </c>
      <c r="B142" s="10" t="s">
        <v>4</v>
      </c>
      <c r="C142" s="3"/>
      <c r="D142" s="10" t="s">
        <v>286</v>
      </c>
    </row>
    <row r="143" spans="1:4" ht="12.5">
      <c r="A143" s="10" t="s">
        <v>287</v>
      </c>
      <c r="B143" s="10" t="s">
        <v>4</v>
      </c>
      <c r="C143" s="10" t="s">
        <v>288</v>
      </c>
      <c r="D143" s="10">
        <v>98974433</v>
      </c>
    </row>
    <row r="144" spans="1:4" ht="25">
      <c r="A144" s="10" t="s">
        <v>289</v>
      </c>
      <c r="B144" s="10" t="s">
        <v>4</v>
      </c>
      <c r="C144" s="10" t="s">
        <v>290</v>
      </c>
      <c r="D144" s="10">
        <v>98560796</v>
      </c>
    </row>
    <row r="145" spans="1:4" ht="25">
      <c r="A145" s="10" t="s">
        <v>291</v>
      </c>
      <c r="B145" s="10" t="s">
        <v>4</v>
      </c>
      <c r="C145" s="10" t="s">
        <v>292</v>
      </c>
      <c r="D145" s="3"/>
    </row>
    <row r="146" spans="1:4" ht="25">
      <c r="A146" s="10" t="s">
        <v>293</v>
      </c>
      <c r="B146" s="10" t="s">
        <v>4</v>
      </c>
      <c r="C146" s="10" t="s">
        <v>294</v>
      </c>
      <c r="D146" s="10">
        <v>93597815</v>
      </c>
    </row>
    <row r="147" spans="1:4" ht="25">
      <c r="A147" s="10" t="s">
        <v>295</v>
      </c>
      <c r="B147" s="10" t="s">
        <v>4</v>
      </c>
      <c r="C147" s="3"/>
      <c r="D147" s="10" t="s">
        <v>296</v>
      </c>
    </row>
    <row r="148" spans="1:4" ht="25">
      <c r="A148" s="10" t="s">
        <v>297</v>
      </c>
      <c r="B148" s="10" t="s">
        <v>4</v>
      </c>
      <c r="C148" s="3"/>
      <c r="D148" s="10">
        <v>91123162</v>
      </c>
    </row>
    <row r="149" spans="1:4" ht="25">
      <c r="A149" s="10" t="s">
        <v>298</v>
      </c>
      <c r="B149" s="10" t="s">
        <v>4</v>
      </c>
      <c r="C149" s="3"/>
      <c r="D149" s="10" t="s">
        <v>299</v>
      </c>
    </row>
    <row r="150" spans="1:4" ht="37.5">
      <c r="A150" s="10" t="s">
        <v>300</v>
      </c>
      <c r="B150" s="10" t="s">
        <v>4</v>
      </c>
      <c r="C150" s="3"/>
      <c r="D150" s="10" t="s">
        <v>301</v>
      </c>
    </row>
    <row r="151" spans="1:4" ht="12.5">
      <c r="A151" s="10" t="s">
        <v>302</v>
      </c>
      <c r="B151" s="10" t="s">
        <v>4</v>
      </c>
      <c r="C151" s="10" t="s">
        <v>303</v>
      </c>
      <c r="D151" s="10">
        <v>91319784</v>
      </c>
    </row>
    <row r="152" spans="1:4" ht="25">
      <c r="A152" s="10" t="s">
        <v>304</v>
      </c>
      <c r="B152" s="10" t="s">
        <v>4</v>
      </c>
      <c r="C152" s="10" t="s">
        <v>305</v>
      </c>
      <c r="D152" s="10">
        <v>88998474</v>
      </c>
    </row>
    <row r="153" spans="1:4" ht="25.5">
      <c r="A153" s="10" t="s">
        <v>306</v>
      </c>
      <c r="B153" s="10" t="s">
        <v>4</v>
      </c>
      <c r="C153" s="12" t="s">
        <v>307</v>
      </c>
      <c r="D153" s="10">
        <v>80821992</v>
      </c>
    </row>
    <row r="154" spans="1:4" ht="25">
      <c r="A154" s="10" t="s">
        <v>308</v>
      </c>
      <c r="B154" s="10" t="s">
        <v>4</v>
      </c>
      <c r="C154" s="10" t="s">
        <v>309</v>
      </c>
      <c r="D154" s="10">
        <v>91119450</v>
      </c>
    </row>
    <row r="155" spans="1:4" ht="25">
      <c r="A155" s="10" t="s">
        <v>310</v>
      </c>
      <c r="B155" s="10" t="s">
        <v>4</v>
      </c>
      <c r="C155" s="10" t="s">
        <v>311</v>
      </c>
      <c r="D155" s="10">
        <v>85029438</v>
      </c>
    </row>
    <row r="156" spans="1:4" ht="25">
      <c r="A156" s="10" t="s">
        <v>312</v>
      </c>
      <c r="B156" s="10" t="s">
        <v>4</v>
      </c>
      <c r="C156" s="10" t="s">
        <v>313</v>
      </c>
      <c r="D156" s="10">
        <v>96221979</v>
      </c>
    </row>
    <row r="157" spans="1:4" ht="37.5">
      <c r="A157" s="10" t="s">
        <v>314</v>
      </c>
      <c r="B157" s="10" t="s">
        <v>4</v>
      </c>
      <c r="C157" s="3"/>
      <c r="D157" s="10" t="s">
        <v>315</v>
      </c>
    </row>
    <row r="158" spans="1:4" ht="25">
      <c r="A158" s="10" t="s">
        <v>316</v>
      </c>
      <c r="B158" s="10" t="s">
        <v>4</v>
      </c>
      <c r="C158" s="10" t="s">
        <v>317</v>
      </c>
      <c r="D158" s="10">
        <v>6585248296</v>
      </c>
    </row>
    <row r="159" spans="1:4" ht="25">
      <c r="A159" s="10" t="s">
        <v>318</v>
      </c>
      <c r="B159" s="10" t="s">
        <v>4</v>
      </c>
      <c r="C159" s="10" t="s">
        <v>319</v>
      </c>
      <c r="D159" s="10">
        <v>98317741</v>
      </c>
    </row>
    <row r="160" spans="1:4" ht="25">
      <c r="A160" s="10" t="s">
        <v>320</v>
      </c>
      <c r="B160" s="10" t="s">
        <v>4</v>
      </c>
      <c r="C160" s="10" t="s">
        <v>321</v>
      </c>
      <c r="D160" s="10">
        <v>81110535</v>
      </c>
    </row>
    <row r="161" spans="1:4" ht="25">
      <c r="A161" s="10" t="s">
        <v>322</v>
      </c>
      <c r="B161" s="10" t="s">
        <v>4</v>
      </c>
      <c r="C161" s="10" t="s">
        <v>323</v>
      </c>
      <c r="D161" s="10">
        <v>6596192270</v>
      </c>
    </row>
    <row r="162" spans="1:4" ht="12.5">
      <c r="A162" s="13"/>
      <c r="B162" s="13"/>
      <c r="C162" s="13"/>
      <c r="D162" s="13"/>
    </row>
    <row r="163" spans="1:4" ht="12.5">
      <c r="A163" s="13"/>
      <c r="B163" s="13"/>
      <c r="C163" s="13"/>
      <c r="D163" s="13"/>
    </row>
    <row r="164" spans="1:4" ht="12.5">
      <c r="A164" s="13"/>
      <c r="B164" s="13"/>
      <c r="C164" s="13"/>
      <c r="D164" s="13"/>
    </row>
    <row r="165" spans="1:4" ht="12.5">
      <c r="A165" s="13"/>
      <c r="B165" s="13"/>
      <c r="C165" s="13"/>
      <c r="D165" s="13"/>
    </row>
    <row r="166" spans="1:4" ht="12.5">
      <c r="A166" s="13"/>
      <c r="B166" s="13"/>
      <c r="C166" s="13"/>
      <c r="D166" s="13"/>
    </row>
    <row r="167" spans="1:4" ht="12.5">
      <c r="A167" s="13"/>
      <c r="B167" s="13"/>
      <c r="C167" s="13"/>
      <c r="D167" s="13"/>
    </row>
    <row r="168" spans="1:4" ht="12.5">
      <c r="A168" s="13"/>
      <c r="B168" s="13"/>
      <c r="C168" s="13"/>
      <c r="D168" s="13"/>
    </row>
    <row r="169" spans="1:4" ht="12.5">
      <c r="A169" s="13"/>
      <c r="B169" s="13"/>
      <c r="C169" s="13"/>
      <c r="D169" s="13"/>
    </row>
    <row r="170" spans="1:4" ht="12.5">
      <c r="A170" s="13"/>
      <c r="B170" s="13"/>
      <c r="C170" s="13"/>
      <c r="D170" s="13"/>
    </row>
    <row r="171" spans="1:4" ht="12.5">
      <c r="A171" s="13"/>
      <c r="B171" s="13"/>
      <c r="C171" s="13"/>
      <c r="D171" s="13"/>
    </row>
    <row r="172" spans="1:4" ht="12.5">
      <c r="A172" s="13"/>
      <c r="B172" s="13"/>
      <c r="C172" s="13"/>
      <c r="D172" s="13"/>
    </row>
    <row r="173" spans="1:4" ht="12.5">
      <c r="A173" s="13"/>
      <c r="B173" s="13"/>
      <c r="C173" s="13"/>
      <c r="D173" s="13"/>
    </row>
    <row r="174" spans="1:4" ht="12.5">
      <c r="A174" s="13"/>
      <c r="B174" s="13"/>
      <c r="C174" s="13"/>
      <c r="D174" s="13"/>
    </row>
    <row r="175" spans="1:4" ht="12.5">
      <c r="A175" s="13"/>
      <c r="B175" s="13"/>
      <c r="C175" s="13"/>
      <c r="D175" s="13"/>
    </row>
    <row r="176" spans="1:4" ht="12.5">
      <c r="A176" s="13"/>
      <c r="B176" s="13"/>
      <c r="C176" s="13"/>
      <c r="D176" s="13"/>
    </row>
    <row r="177" spans="1:4" ht="12.5">
      <c r="A177" s="13"/>
      <c r="B177" s="13"/>
      <c r="C177" s="13"/>
      <c r="D177" s="13"/>
    </row>
    <row r="178" spans="1:4" ht="12.5">
      <c r="A178" s="13"/>
      <c r="B178" s="13"/>
      <c r="C178" s="13"/>
      <c r="D178" s="13"/>
    </row>
    <row r="179" spans="1:4" ht="12.5">
      <c r="A179" s="13"/>
      <c r="B179" s="13"/>
      <c r="C179" s="13"/>
      <c r="D179" s="13"/>
    </row>
    <row r="180" spans="1:4" ht="12.5">
      <c r="A180" s="13"/>
      <c r="B180" s="13"/>
      <c r="C180" s="13"/>
      <c r="D180" s="13"/>
    </row>
    <row r="181" spans="1:4" ht="12.5">
      <c r="A181" s="13"/>
      <c r="B181" s="13"/>
      <c r="C181" s="13"/>
      <c r="D181" s="13"/>
    </row>
    <row r="182" spans="1:4" ht="12.5">
      <c r="A182" s="13"/>
      <c r="B182" s="13"/>
      <c r="C182" s="13"/>
      <c r="D182" s="13"/>
    </row>
    <row r="183" spans="1:4" ht="12.5">
      <c r="A183" s="13"/>
      <c r="B183" s="13"/>
      <c r="C183" s="13"/>
      <c r="D183" s="13"/>
    </row>
    <row r="184" spans="1:4" ht="12.5">
      <c r="A184" s="13"/>
      <c r="B184" s="13"/>
      <c r="C184" s="13"/>
      <c r="D184" s="13"/>
    </row>
    <row r="185" spans="1:4" ht="12.5">
      <c r="A185" s="13"/>
      <c r="B185" s="13"/>
      <c r="C185" s="13"/>
      <c r="D185" s="13"/>
    </row>
    <row r="186" spans="1:4" ht="12.5">
      <c r="A186" s="13"/>
      <c r="B186" s="13"/>
      <c r="C186" s="13"/>
      <c r="D186" s="13"/>
    </row>
    <row r="187" spans="1:4" ht="12.5">
      <c r="A187" s="13"/>
      <c r="B187" s="13"/>
      <c r="C187" s="13"/>
      <c r="D187" s="13"/>
    </row>
    <row r="188" spans="1:4" ht="12.5">
      <c r="A188" s="13"/>
      <c r="B188" s="13"/>
      <c r="C188" s="13"/>
      <c r="D188" s="13"/>
    </row>
    <row r="189" spans="1:4" ht="12.5">
      <c r="A189" s="13"/>
      <c r="B189" s="13"/>
      <c r="C189" s="13"/>
      <c r="D189" s="13"/>
    </row>
    <row r="190" spans="1:4" ht="12.5">
      <c r="A190" s="13"/>
      <c r="B190" s="13"/>
      <c r="C190" s="13"/>
      <c r="D190" s="13"/>
    </row>
    <row r="191" spans="1:4" ht="12.5">
      <c r="A191" s="13"/>
      <c r="B191" s="13"/>
      <c r="C191" s="13"/>
      <c r="D191" s="13"/>
    </row>
    <row r="192" spans="1:4" ht="12.5">
      <c r="A192" s="13"/>
      <c r="B192" s="13"/>
      <c r="C192" s="13"/>
      <c r="D192" s="13"/>
    </row>
    <row r="193" spans="1:4" ht="12.5">
      <c r="A193" s="13"/>
      <c r="B193" s="13"/>
      <c r="C193" s="13"/>
      <c r="D193" s="13"/>
    </row>
    <row r="194" spans="1:4" ht="12.5">
      <c r="A194" s="13"/>
      <c r="B194" s="13"/>
      <c r="C194" s="13"/>
      <c r="D194" s="13"/>
    </row>
    <row r="195" spans="1:4" ht="12.5">
      <c r="A195" s="13"/>
      <c r="B195" s="13"/>
      <c r="C195" s="13"/>
      <c r="D195" s="13"/>
    </row>
    <row r="196" spans="1:4" ht="12.5">
      <c r="A196" s="13"/>
      <c r="B196" s="13"/>
      <c r="C196" s="13"/>
      <c r="D196" s="13"/>
    </row>
    <row r="197" spans="1:4" ht="12.5">
      <c r="A197" s="13"/>
      <c r="B197" s="13"/>
      <c r="C197" s="13"/>
      <c r="D197" s="13"/>
    </row>
    <row r="198" spans="1:4" ht="12.5">
      <c r="A198" s="13"/>
      <c r="B198" s="13"/>
      <c r="C198" s="13"/>
      <c r="D198" s="13"/>
    </row>
    <row r="199" spans="1:4" ht="12.5">
      <c r="A199" s="13"/>
      <c r="B199" s="13"/>
      <c r="C199" s="13"/>
      <c r="D199" s="13"/>
    </row>
    <row r="200" spans="1:4" ht="12.5">
      <c r="A200" s="13"/>
      <c r="B200" s="13"/>
      <c r="C200" s="13"/>
      <c r="D200" s="13"/>
    </row>
    <row r="201" spans="1:4" ht="12.5">
      <c r="A201" s="13"/>
      <c r="B201" s="13"/>
      <c r="C201" s="13"/>
      <c r="D201" s="13"/>
    </row>
    <row r="202" spans="1:4" ht="12.5">
      <c r="A202" s="13"/>
      <c r="B202" s="13"/>
      <c r="C202" s="13"/>
      <c r="D202" s="13"/>
    </row>
    <row r="203" spans="1:4" ht="12.5">
      <c r="A203" s="13"/>
      <c r="B203" s="13"/>
      <c r="C203" s="13"/>
      <c r="D203" s="13"/>
    </row>
    <row r="204" spans="1:4" ht="12.5">
      <c r="A204" s="13"/>
      <c r="B204" s="13"/>
      <c r="C204" s="13"/>
      <c r="D204" s="13"/>
    </row>
    <row r="205" spans="1:4" ht="12.5">
      <c r="A205" s="13"/>
      <c r="B205" s="13"/>
      <c r="C205" s="13"/>
      <c r="D205" s="13"/>
    </row>
    <row r="206" spans="1:4" ht="12.5">
      <c r="A206" s="13"/>
      <c r="B206" s="13"/>
      <c r="C206" s="13"/>
      <c r="D206" s="13"/>
    </row>
    <row r="207" spans="1:4" ht="12.5">
      <c r="A207" s="13"/>
      <c r="B207" s="13"/>
      <c r="C207" s="13"/>
      <c r="D207" s="13"/>
    </row>
    <row r="208" spans="1:4" ht="12.5">
      <c r="A208" s="13"/>
      <c r="B208" s="13"/>
      <c r="C208" s="13"/>
      <c r="D208" s="13"/>
    </row>
    <row r="209" spans="1:4" ht="12.5">
      <c r="A209" s="13"/>
      <c r="B209" s="13"/>
      <c r="C209" s="13"/>
      <c r="D209" s="13"/>
    </row>
    <row r="210" spans="1:4" ht="12.5">
      <c r="A210" s="13"/>
      <c r="B210" s="13"/>
      <c r="C210" s="13"/>
      <c r="D210" s="13"/>
    </row>
    <row r="211" spans="1:4" ht="12.5">
      <c r="A211" s="13"/>
      <c r="B211" s="13"/>
      <c r="C211" s="13"/>
      <c r="D211" s="13"/>
    </row>
    <row r="212" spans="1:4" ht="12.5">
      <c r="A212" s="13"/>
      <c r="B212" s="13"/>
      <c r="C212" s="13"/>
      <c r="D212" s="13"/>
    </row>
    <row r="213" spans="1:4" ht="12.5">
      <c r="A213" s="13"/>
      <c r="B213" s="13"/>
      <c r="C213" s="13"/>
      <c r="D213" s="13"/>
    </row>
    <row r="214" spans="1:4" ht="12.5">
      <c r="A214" s="13"/>
      <c r="B214" s="13"/>
      <c r="C214" s="13"/>
      <c r="D214" s="13"/>
    </row>
    <row r="215" spans="1:4" ht="12.5">
      <c r="A215" s="13"/>
      <c r="B215" s="13"/>
      <c r="C215" s="13"/>
      <c r="D215" s="13"/>
    </row>
    <row r="216" spans="1:4" ht="12.5">
      <c r="A216" s="13"/>
      <c r="B216" s="13"/>
      <c r="C216" s="13"/>
      <c r="D216" s="13"/>
    </row>
    <row r="217" spans="1:4" ht="12.5">
      <c r="A217" s="13"/>
      <c r="B217" s="13"/>
      <c r="C217" s="13"/>
      <c r="D217" s="13"/>
    </row>
    <row r="218" spans="1:4" ht="12.5">
      <c r="A218" s="13"/>
      <c r="B218" s="13"/>
      <c r="C218" s="13"/>
      <c r="D218" s="13"/>
    </row>
    <row r="219" spans="1:4" ht="12.5">
      <c r="A219" s="13"/>
      <c r="B219" s="13"/>
      <c r="C219" s="13"/>
      <c r="D219" s="13"/>
    </row>
    <row r="220" spans="1:4" ht="12.5">
      <c r="A220" s="13"/>
      <c r="B220" s="13"/>
      <c r="C220" s="13"/>
      <c r="D220" s="13"/>
    </row>
    <row r="221" spans="1:4" ht="12.5">
      <c r="A221" s="13"/>
      <c r="B221" s="13"/>
      <c r="C221" s="13"/>
      <c r="D221" s="13"/>
    </row>
    <row r="222" spans="1:4" ht="12.5">
      <c r="A222" s="13"/>
      <c r="B222" s="13"/>
      <c r="C222" s="13"/>
      <c r="D222" s="13"/>
    </row>
    <row r="223" spans="1:4" ht="12.5">
      <c r="A223" s="13"/>
      <c r="B223" s="13"/>
      <c r="C223" s="13"/>
      <c r="D223" s="13"/>
    </row>
    <row r="224" spans="1:4" ht="12.5">
      <c r="A224" s="13"/>
      <c r="B224" s="13"/>
      <c r="C224" s="13"/>
      <c r="D224" s="13"/>
    </row>
    <row r="225" spans="1:4" ht="12.5">
      <c r="A225" s="13"/>
      <c r="B225" s="13"/>
      <c r="C225" s="13"/>
      <c r="D225" s="13"/>
    </row>
    <row r="226" spans="1:4" ht="12.5">
      <c r="A226" s="13"/>
      <c r="B226" s="13"/>
      <c r="C226" s="13"/>
      <c r="D226" s="13"/>
    </row>
    <row r="227" spans="1:4" ht="12.5">
      <c r="A227" s="13"/>
      <c r="B227" s="13"/>
      <c r="C227" s="13"/>
      <c r="D227" s="13"/>
    </row>
    <row r="228" spans="1:4" ht="12.5">
      <c r="A228" s="13"/>
      <c r="B228" s="13"/>
      <c r="C228" s="13"/>
      <c r="D228" s="13"/>
    </row>
    <row r="229" spans="1:4" ht="12.5">
      <c r="A229" s="13"/>
      <c r="B229" s="13"/>
      <c r="C229" s="13"/>
      <c r="D229" s="13"/>
    </row>
    <row r="230" spans="1:4" ht="12.5">
      <c r="A230" s="13"/>
      <c r="B230" s="13"/>
      <c r="C230" s="13"/>
      <c r="D230" s="13"/>
    </row>
    <row r="231" spans="1:4" ht="12.5">
      <c r="A231" s="13"/>
      <c r="B231" s="13"/>
      <c r="C231" s="13"/>
      <c r="D231" s="13"/>
    </row>
    <row r="232" spans="1:4" ht="12.5">
      <c r="A232" s="13"/>
      <c r="B232" s="13"/>
      <c r="C232" s="13"/>
      <c r="D232" s="13"/>
    </row>
    <row r="233" spans="1:4" ht="12.5">
      <c r="A233" s="13"/>
      <c r="B233" s="13"/>
      <c r="C233" s="13"/>
      <c r="D233" s="13"/>
    </row>
    <row r="234" spans="1:4" ht="12.5">
      <c r="A234" s="13"/>
      <c r="B234" s="13"/>
      <c r="C234" s="13"/>
      <c r="D234" s="13"/>
    </row>
    <row r="235" spans="1:4" ht="12.5">
      <c r="A235" s="13"/>
      <c r="B235" s="13"/>
      <c r="C235" s="13"/>
      <c r="D235" s="13"/>
    </row>
    <row r="236" spans="1:4" ht="12.5">
      <c r="A236" s="13"/>
      <c r="B236" s="13"/>
      <c r="C236" s="13"/>
      <c r="D236" s="13"/>
    </row>
    <row r="237" spans="1:4" ht="12.5">
      <c r="A237" s="13"/>
      <c r="B237" s="13"/>
      <c r="C237" s="13"/>
      <c r="D237" s="13"/>
    </row>
    <row r="238" spans="1:4" ht="12.5">
      <c r="A238" s="13"/>
      <c r="B238" s="13"/>
      <c r="C238" s="13"/>
      <c r="D238" s="13"/>
    </row>
    <row r="239" spans="1:4" ht="12.5">
      <c r="A239" s="13"/>
      <c r="B239" s="13"/>
      <c r="C239" s="13"/>
      <c r="D239" s="13"/>
    </row>
    <row r="240" spans="1:4" ht="12.5">
      <c r="A240" s="13"/>
      <c r="B240" s="13"/>
      <c r="C240" s="13"/>
      <c r="D240" s="13"/>
    </row>
    <row r="241" spans="1:4" ht="12.5">
      <c r="A241" s="13"/>
      <c r="B241" s="13"/>
      <c r="C241" s="13"/>
      <c r="D241" s="13"/>
    </row>
    <row r="242" spans="1:4" ht="12.5">
      <c r="A242" s="13"/>
      <c r="B242" s="13"/>
      <c r="C242" s="13"/>
      <c r="D242" s="13"/>
    </row>
    <row r="243" spans="1:4" ht="12.5">
      <c r="A243" s="13"/>
      <c r="B243" s="13"/>
      <c r="C243" s="13"/>
      <c r="D243" s="13"/>
    </row>
    <row r="244" spans="1:4" ht="12.5">
      <c r="A244" s="13"/>
      <c r="B244" s="13"/>
      <c r="C244" s="13"/>
      <c r="D244" s="13"/>
    </row>
    <row r="245" spans="1:4" ht="12.5">
      <c r="A245" s="13"/>
      <c r="B245" s="13"/>
      <c r="C245" s="13"/>
      <c r="D245" s="13"/>
    </row>
    <row r="246" spans="1:4" ht="12.5">
      <c r="A246" s="13"/>
      <c r="B246" s="13"/>
      <c r="C246" s="13"/>
      <c r="D246" s="13"/>
    </row>
    <row r="247" spans="1:4" ht="12.5">
      <c r="A247" s="13"/>
      <c r="B247" s="13"/>
      <c r="C247" s="13"/>
      <c r="D247" s="13"/>
    </row>
    <row r="248" spans="1:4" ht="12.5">
      <c r="A248" s="13"/>
      <c r="B248" s="13"/>
      <c r="C248" s="13"/>
      <c r="D248" s="13"/>
    </row>
    <row r="249" spans="1:4" ht="12.5">
      <c r="A249" s="13"/>
      <c r="B249" s="13"/>
      <c r="C249" s="13"/>
      <c r="D249" s="13"/>
    </row>
    <row r="250" spans="1:4" ht="12.5">
      <c r="A250" s="13"/>
      <c r="B250" s="13"/>
      <c r="C250" s="13"/>
      <c r="D250" s="13"/>
    </row>
    <row r="251" spans="1:4" ht="12.5">
      <c r="A251" s="13"/>
      <c r="B251" s="13"/>
      <c r="C251" s="13"/>
      <c r="D251" s="13"/>
    </row>
    <row r="252" spans="1:4" ht="12.5">
      <c r="A252" s="13"/>
      <c r="B252" s="13"/>
      <c r="C252" s="13"/>
      <c r="D252" s="13"/>
    </row>
    <row r="253" spans="1:4" ht="12.5">
      <c r="A253" s="13"/>
      <c r="B253" s="13"/>
      <c r="C253" s="13"/>
      <c r="D253" s="13"/>
    </row>
    <row r="254" spans="1:4" ht="12.5">
      <c r="A254" s="13"/>
      <c r="B254" s="13"/>
      <c r="C254" s="13"/>
      <c r="D254" s="13"/>
    </row>
    <row r="255" spans="1:4" ht="12.5">
      <c r="A255" s="13"/>
      <c r="B255" s="13"/>
      <c r="C255" s="13"/>
      <c r="D255" s="13"/>
    </row>
    <row r="256" spans="1:4" ht="12.5">
      <c r="A256" s="13"/>
      <c r="B256" s="13"/>
      <c r="C256" s="13"/>
      <c r="D256" s="13"/>
    </row>
    <row r="257" spans="1:4" ht="12.5">
      <c r="A257" s="13"/>
      <c r="B257" s="13"/>
      <c r="C257" s="13"/>
      <c r="D257" s="13"/>
    </row>
    <row r="258" spans="1:4" ht="12.5">
      <c r="A258" s="13"/>
      <c r="B258" s="13"/>
      <c r="C258" s="13"/>
      <c r="D258" s="13"/>
    </row>
    <row r="259" spans="1:4" ht="12.5">
      <c r="A259" s="13"/>
      <c r="B259" s="13"/>
      <c r="C259" s="13"/>
      <c r="D259" s="13"/>
    </row>
    <row r="260" spans="1:4" ht="12.5">
      <c r="A260" s="13"/>
      <c r="B260" s="13"/>
      <c r="C260" s="13"/>
      <c r="D260" s="13"/>
    </row>
    <row r="261" spans="1:4" ht="12.5">
      <c r="A261" s="13"/>
      <c r="B261" s="13"/>
      <c r="C261" s="13"/>
      <c r="D261" s="13"/>
    </row>
    <row r="262" spans="1:4" ht="12.5">
      <c r="A262" s="13"/>
      <c r="B262" s="13"/>
      <c r="C262" s="13"/>
      <c r="D262" s="13"/>
    </row>
    <row r="263" spans="1:4" ht="12.5">
      <c r="A263" s="13"/>
      <c r="B263" s="13"/>
      <c r="C263" s="13"/>
      <c r="D263" s="13"/>
    </row>
    <row r="264" spans="1:4" ht="12.5">
      <c r="A264" s="13"/>
      <c r="B264" s="13"/>
      <c r="C264" s="13"/>
      <c r="D264" s="13"/>
    </row>
    <row r="265" spans="1:4" ht="12.5">
      <c r="A265" s="13"/>
      <c r="B265" s="13"/>
      <c r="C265" s="13"/>
      <c r="D265" s="13"/>
    </row>
    <row r="266" spans="1:4" ht="12.5">
      <c r="A266" s="13"/>
      <c r="B266" s="13"/>
      <c r="C266" s="13"/>
      <c r="D266" s="13"/>
    </row>
    <row r="267" spans="1:4" ht="12.5">
      <c r="A267" s="13"/>
      <c r="B267" s="13"/>
      <c r="C267" s="13"/>
      <c r="D267" s="13"/>
    </row>
    <row r="268" spans="1:4" ht="12.5">
      <c r="A268" s="13"/>
      <c r="B268" s="13"/>
      <c r="C268" s="13"/>
      <c r="D268" s="13"/>
    </row>
    <row r="269" spans="1:4" ht="12.5">
      <c r="A269" s="13"/>
      <c r="B269" s="13"/>
      <c r="C269" s="13"/>
      <c r="D269" s="13"/>
    </row>
    <row r="270" spans="1:4" ht="12.5">
      <c r="A270" s="13"/>
      <c r="B270" s="13"/>
      <c r="C270" s="13"/>
      <c r="D270" s="13"/>
    </row>
    <row r="271" spans="1:4" ht="12.5">
      <c r="A271" s="13"/>
      <c r="B271" s="13"/>
      <c r="C271" s="13"/>
      <c r="D271" s="13"/>
    </row>
    <row r="272" spans="1:4" ht="12.5">
      <c r="A272" s="13"/>
      <c r="B272" s="13"/>
      <c r="C272" s="13"/>
      <c r="D272" s="13"/>
    </row>
    <row r="273" spans="1:4" ht="12.5">
      <c r="A273" s="13"/>
      <c r="B273" s="13"/>
      <c r="C273" s="13"/>
      <c r="D273" s="13"/>
    </row>
    <row r="274" spans="1:4" ht="12.5">
      <c r="A274" s="13"/>
      <c r="B274" s="13"/>
      <c r="C274" s="13"/>
      <c r="D274" s="13"/>
    </row>
    <row r="275" spans="1:4" ht="12.5">
      <c r="A275" s="13"/>
      <c r="B275" s="13"/>
      <c r="C275" s="13"/>
      <c r="D275" s="13"/>
    </row>
    <row r="276" spans="1:4" ht="12.5">
      <c r="A276" s="13"/>
      <c r="B276" s="13"/>
      <c r="C276" s="13"/>
      <c r="D276" s="13"/>
    </row>
    <row r="277" spans="1:4" ht="12.5">
      <c r="A277" s="13"/>
      <c r="B277" s="13"/>
      <c r="C277" s="13"/>
      <c r="D277" s="13"/>
    </row>
    <row r="278" spans="1:4" ht="12.5">
      <c r="A278" s="13"/>
      <c r="B278" s="13"/>
      <c r="C278" s="13"/>
      <c r="D278" s="13"/>
    </row>
    <row r="279" spans="1:4" ht="12.5">
      <c r="A279" s="13"/>
      <c r="B279" s="13"/>
      <c r="C279" s="13"/>
      <c r="D279" s="13"/>
    </row>
    <row r="280" spans="1:4" ht="12.5">
      <c r="A280" s="13"/>
      <c r="B280" s="13"/>
      <c r="C280" s="13"/>
      <c r="D280" s="13"/>
    </row>
    <row r="281" spans="1:4" ht="12.5">
      <c r="A281" s="13"/>
      <c r="B281" s="13"/>
      <c r="C281" s="13"/>
      <c r="D281" s="13"/>
    </row>
    <row r="282" spans="1:4" ht="12.5">
      <c r="A282" s="13"/>
      <c r="B282" s="13"/>
      <c r="C282" s="13"/>
      <c r="D282" s="13"/>
    </row>
    <row r="283" spans="1:4" ht="12.5">
      <c r="A283" s="13"/>
      <c r="B283" s="13"/>
      <c r="C283" s="13"/>
      <c r="D283" s="13"/>
    </row>
    <row r="284" spans="1:4" ht="12.5">
      <c r="A284" s="13"/>
      <c r="B284" s="13"/>
      <c r="C284" s="13"/>
      <c r="D284" s="13"/>
    </row>
    <row r="285" spans="1:4" ht="12.5">
      <c r="A285" s="13"/>
      <c r="B285" s="13"/>
      <c r="C285" s="13"/>
      <c r="D285" s="13"/>
    </row>
    <row r="286" spans="1:4" ht="12.5">
      <c r="A286" s="13"/>
      <c r="B286" s="13"/>
      <c r="C286" s="13"/>
      <c r="D286" s="13"/>
    </row>
    <row r="287" spans="1:4" ht="12.5">
      <c r="A287" s="13"/>
      <c r="B287" s="13"/>
      <c r="C287" s="13"/>
      <c r="D287" s="13"/>
    </row>
    <row r="288" spans="1:4" ht="12.5">
      <c r="A288" s="13"/>
      <c r="B288" s="13"/>
      <c r="C288" s="13"/>
      <c r="D288" s="13"/>
    </row>
    <row r="289" spans="1:4" ht="12.5">
      <c r="A289" s="13"/>
      <c r="B289" s="13"/>
      <c r="C289" s="13"/>
      <c r="D289" s="13"/>
    </row>
    <row r="290" spans="1:4" ht="12.5">
      <c r="A290" s="13"/>
      <c r="B290" s="13"/>
      <c r="C290" s="13"/>
      <c r="D290" s="13"/>
    </row>
    <row r="291" spans="1:4" ht="12.5">
      <c r="A291" s="13"/>
      <c r="B291" s="13"/>
      <c r="C291" s="13"/>
      <c r="D291" s="13"/>
    </row>
    <row r="292" spans="1:4" ht="12.5">
      <c r="A292" s="13"/>
      <c r="B292" s="13"/>
      <c r="C292" s="13"/>
      <c r="D292" s="13"/>
    </row>
    <row r="293" spans="1:4" ht="12.5">
      <c r="A293" s="13"/>
      <c r="B293" s="13"/>
      <c r="C293" s="13"/>
      <c r="D293" s="13"/>
    </row>
    <row r="294" spans="1:4" ht="12.5">
      <c r="A294" s="13"/>
      <c r="B294" s="13"/>
      <c r="C294" s="13"/>
      <c r="D294" s="13"/>
    </row>
    <row r="295" spans="1:4" ht="12.5">
      <c r="A295" s="13"/>
      <c r="B295" s="13"/>
      <c r="C295" s="13"/>
      <c r="D295" s="13"/>
    </row>
    <row r="296" spans="1:4" ht="12.5">
      <c r="A296" s="13"/>
      <c r="B296" s="13"/>
      <c r="C296" s="13"/>
      <c r="D296" s="13"/>
    </row>
    <row r="297" spans="1:4" ht="12.5">
      <c r="A297" s="13"/>
      <c r="B297" s="13"/>
      <c r="C297" s="13"/>
      <c r="D297" s="13"/>
    </row>
    <row r="298" spans="1:4" ht="12.5">
      <c r="A298" s="13"/>
      <c r="B298" s="13"/>
      <c r="C298" s="13"/>
      <c r="D298" s="13"/>
    </row>
    <row r="299" spans="1:4" ht="12.5">
      <c r="A299" s="13"/>
      <c r="B299" s="13"/>
      <c r="C299" s="13"/>
      <c r="D299" s="13"/>
    </row>
    <row r="300" spans="1:4" ht="12.5">
      <c r="A300" s="13"/>
      <c r="B300" s="13"/>
      <c r="C300" s="13"/>
      <c r="D300" s="13"/>
    </row>
    <row r="301" spans="1:4" ht="12.5">
      <c r="A301" s="13"/>
      <c r="B301" s="13"/>
      <c r="C301" s="13"/>
      <c r="D301" s="13"/>
    </row>
    <row r="302" spans="1:4" ht="12.5">
      <c r="A302" s="13"/>
      <c r="B302" s="13"/>
      <c r="C302" s="13"/>
      <c r="D302" s="13"/>
    </row>
    <row r="303" spans="1:4" ht="12.5">
      <c r="A303" s="13"/>
      <c r="B303" s="13"/>
      <c r="C303" s="13"/>
      <c r="D303" s="13"/>
    </row>
    <row r="304" spans="1:4" ht="12.5">
      <c r="A304" s="13"/>
      <c r="B304" s="13"/>
      <c r="C304" s="13"/>
      <c r="D304" s="13"/>
    </row>
    <row r="305" spans="1:4" ht="12.5">
      <c r="A305" s="13"/>
      <c r="B305" s="13"/>
      <c r="C305" s="13"/>
      <c r="D305" s="13"/>
    </row>
    <row r="306" spans="1:4" ht="12.5">
      <c r="A306" s="13"/>
      <c r="B306" s="13"/>
      <c r="C306" s="13"/>
      <c r="D306" s="13"/>
    </row>
    <row r="307" spans="1:4" ht="12.5">
      <c r="A307" s="13"/>
      <c r="B307" s="13"/>
      <c r="C307" s="13"/>
      <c r="D307" s="13"/>
    </row>
    <row r="308" spans="1:4" ht="12.5">
      <c r="A308" s="13"/>
      <c r="B308" s="13"/>
      <c r="C308" s="13"/>
      <c r="D308" s="13"/>
    </row>
    <row r="309" spans="1:4" ht="12.5">
      <c r="A309" s="13"/>
      <c r="B309" s="13"/>
      <c r="C309" s="13"/>
      <c r="D309" s="13"/>
    </row>
    <row r="310" spans="1:4" ht="12.5">
      <c r="A310" s="13"/>
      <c r="B310" s="13"/>
      <c r="C310" s="13"/>
      <c r="D310" s="13"/>
    </row>
    <row r="311" spans="1:4" ht="12.5">
      <c r="A311" s="13"/>
      <c r="B311" s="13"/>
      <c r="C311" s="13"/>
      <c r="D311" s="13"/>
    </row>
    <row r="312" spans="1:4" ht="12.5">
      <c r="A312" s="13"/>
      <c r="B312" s="13"/>
      <c r="C312" s="13"/>
      <c r="D312" s="13"/>
    </row>
    <row r="313" spans="1:4" ht="12.5">
      <c r="A313" s="13"/>
      <c r="B313" s="13"/>
      <c r="C313" s="13"/>
      <c r="D313" s="13"/>
    </row>
    <row r="314" spans="1:4" ht="12.5">
      <c r="A314" s="13"/>
      <c r="B314" s="13"/>
      <c r="C314" s="13"/>
      <c r="D314" s="13"/>
    </row>
    <row r="315" spans="1:4" ht="12.5">
      <c r="A315" s="13"/>
      <c r="B315" s="13"/>
      <c r="C315" s="13"/>
      <c r="D315" s="13"/>
    </row>
    <row r="316" spans="1:4" ht="12.5">
      <c r="A316" s="13"/>
      <c r="B316" s="13"/>
      <c r="C316" s="13"/>
      <c r="D316" s="13"/>
    </row>
    <row r="317" spans="1:4" ht="12.5">
      <c r="A317" s="13"/>
      <c r="B317" s="13"/>
      <c r="C317" s="13"/>
      <c r="D317" s="13"/>
    </row>
    <row r="318" spans="1:4" ht="12.5">
      <c r="A318" s="13"/>
      <c r="B318" s="13"/>
      <c r="C318" s="13"/>
      <c r="D318" s="13"/>
    </row>
    <row r="319" spans="1:4" ht="12.5">
      <c r="A319" s="13"/>
      <c r="B319" s="13"/>
      <c r="C319" s="13"/>
      <c r="D319" s="13"/>
    </row>
    <row r="320" spans="1:4" ht="12.5">
      <c r="A320" s="13"/>
      <c r="B320" s="13"/>
      <c r="C320" s="13"/>
      <c r="D320" s="13"/>
    </row>
    <row r="321" spans="1:4" ht="12.5">
      <c r="A321" s="13"/>
      <c r="B321" s="13"/>
      <c r="C321" s="13"/>
      <c r="D321" s="13"/>
    </row>
    <row r="322" spans="1:4" ht="12.5">
      <c r="A322" s="13"/>
      <c r="B322" s="13"/>
      <c r="C322" s="13"/>
      <c r="D322" s="13"/>
    </row>
    <row r="323" spans="1:4" ht="12.5">
      <c r="A323" s="13"/>
      <c r="B323" s="13"/>
      <c r="C323" s="13"/>
      <c r="D323" s="13"/>
    </row>
    <row r="324" spans="1:4" ht="12.5">
      <c r="A324" s="13"/>
      <c r="B324" s="13"/>
      <c r="C324" s="13"/>
      <c r="D324" s="13"/>
    </row>
    <row r="325" spans="1:4" ht="12.5">
      <c r="A325" s="13"/>
      <c r="B325" s="13"/>
      <c r="C325" s="13"/>
      <c r="D325" s="13"/>
    </row>
    <row r="326" spans="1:4" ht="12.5">
      <c r="A326" s="13"/>
      <c r="B326" s="13"/>
      <c r="C326" s="13"/>
      <c r="D326" s="13"/>
    </row>
    <row r="327" spans="1:4" ht="12.5">
      <c r="A327" s="13"/>
      <c r="B327" s="13"/>
      <c r="C327" s="13"/>
      <c r="D327" s="13"/>
    </row>
    <row r="328" spans="1:4" ht="12.5">
      <c r="A328" s="13"/>
      <c r="B328" s="13"/>
      <c r="C328" s="13"/>
      <c r="D328" s="13"/>
    </row>
    <row r="329" spans="1:4" ht="12.5">
      <c r="A329" s="13"/>
      <c r="B329" s="13"/>
      <c r="C329" s="13"/>
      <c r="D329" s="13"/>
    </row>
    <row r="330" spans="1:4" ht="12.5">
      <c r="A330" s="13"/>
      <c r="B330" s="13"/>
      <c r="C330" s="13"/>
      <c r="D330" s="13"/>
    </row>
    <row r="331" spans="1:4" ht="12.5">
      <c r="A331" s="13"/>
      <c r="B331" s="13"/>
      <c r="C331" s="13"/>
      <c r="D331" s="13"/>
    </row>
    <row r="332" spans="1:4" ht="12.5">
      <c r="A332" s="13"/>
      <c r="B332" s="13"/>
      <c r="C332" s="13"/>
      <c r="D332" s="13"/>
    </row>
    <row r="333" spans="1:4" ht="12.5">
      <c r="A333" s="13"/>
      <c r="B333" s="13"/>
      <c r="C333" s="13"/>
      <c r="D333" s="13"/>
    </row>
    <row r="334" spans="1:4" ht="12.5">
      <c r="A334" s="13"/>
      <c r="B334" s="13"/>
      <c r="C334" s="13"/>
      <c r="D334" s="13"/>
    </row>
    <row r="335" spans="1:4" ht="12.5">
      <c r="A335" s="13"/>
      <c r="B335" s="13"/>
      <c r="C335" s="13"/>
      <c r="D335" s="13"/>
    </row>
    <row r="336" spans="1:4" ht="12.5">
      <c r="A336" s="13"/>
      <c r="B336" s="13"/>
      <c r="C336" s="13"/>
      <c r="D336" s="13"/>
    </row>
    <row r="337" spans="1:4" ht="12.5">
      <c r="A337" s="13"/>
      <c r="B337" s="13"/>
      <c r="C337" s="13"/>
      <c r="D337" s="13"/>
    </row>
    <row r="338" spans="1:4" ht="12.5">
      <c r="A338" s="13"/>
      <c r="B338" s="13"/>
      <c r="C338" s="13"/>
      <c r="D338" s="13"/>
    </row>
    <row r="339" spans="1:4" ht="12.5">
      <c r="A339" s="13"/>
      <c r="B339" s="13"/>
      <c r="C339" s="13"/>
      <c r="D339" s="13"/>
    </row>
    <row r="340" spans="1:4" ht="12.5">
      <c r="A340" s="13"/>
      <c r="B340" s="13"/>
      <c r="C340" s="13"/>
      <c r="D340" s="13"/>
    </row>
    <row r="341" spans="1:4" ht="12.5">
      <c r="A341" s="13"/>
      <c r="B341" s="13"/>
      <c r="C341" s="13"/>
      <c r="D341" s="13"/>
    </row>
    <row r="342" spans="1:4" ht="12.5">
      <c r="A342" s="13"/>
      <c r="B342" s="13"/>
      <c r="C342" s="13"/>
      <c r="D342" s="13"/>
    </row>
    <row r="343" spans="1:4" ht="12.5">
      <c r="A343" s="13"/>
      <c r="B343" s="13"/>
      <c r="C343" s="13"/>
      <c r="D343" s="13"/>
    </row>
    <row r="344" spans="1:4" ht="12.5">
      <c r="A344" s="13"/>
      <c r="B344" s="13"/>
      <c r="C344" s="13"/>
      <c r="D344" s="13"/>
    </row>
    <row r="345" spans="1:4" ht="12.5">
      <c r="A345" s="13"/>
      <c r="B345" s="13"/>
      <c r="C345" s="13"/>
      <c r="D345" s="13"/>
    </row>
    <row r="346" spans="1:4" ht="12.5">
      <c r="A346" s="13"/>
      <c r="B346" s="13"/>
      <c r="C346" s="13"/>
      <c r="D346" s="13"/>
    </row>
    <row r="347" spans="1:4" ht="12.5">
      <c r="A347" s="13"/>
      <c r="B347" s="13"/>
      <c r="C347" s="13"/>
      <c r="D347" s="13"/>
    </row>
    <row r="348" spans="1:4" ht="12.5">
      <c r="A348" s="13"/>
      <c r="B348" s="13"/>
      <c r="C348" s="13"/>
      <c r="D348" s="13"/>
    </row>
    <row r="349" spans="1:4" ht="12.5">
      <c r="A349" s="13"/>
      <c r="B349" s="13"/>
      <c r="C349" s="13"/>
      <c r="D349" s="13"/>
    </row>
    <row r="350" spans="1:4" ht="12.5">
      <c r="A350" s="13"/>
      <c r="B350" s="13"/>
      <c r="C350" s="13"/>
      <c r="D350" s="13"/>
    </row>
    <row r="351" spans="1:4" ht="12.5">
      <c r="A351" s="13"/>
      <c r="B351" s="13"/>
      <c r="C351" s="13"/>
      <c r="D351" s="13"/>
    </row>
    <row r="352" spans="1:4" ht="12.5">
      <c r="A352" s="13"/>
      <c r="B352" s="13"/>
      <c r="C352" s="13"/>
      <c r="D352" s="13"/>
    </row>
    <row r="353" spans="1:4" ht="12.5">
      <c r="A353" s="13"/>
      <c r="B353" s="13"/>
      <c r="C353" s="13"/>
      <c r="D353" s="13"/>
    </row>
    <row r="354" spans="1:4" ht="12.5">
      <c r="A354" s="13"/>
      <c r="B354" s="13"/>
      <c r="C354" s="13"/>
      <c r="D354" s="13"/>
    </row>
    <row r="355" spans="1:4" ht="12.5">
      <c r="A355" s="13"/>
      <c r="B355" s="13"/>
      <c r="C355" s="13"/>
      <c r="D355" s="13"/>
    </row>
    <row r="356" spans="1:4" ht="12.5">
      <c r="A356" s="13"/>
      <c r="B356" s="13"/>
      <c r="C356" s="13"/>
      <c r="D356" s="13"/>
    </row>
    <row r="357" spans="1:4" ht="12.5">
      <c r="A357" s="13"/>
      <c r="B357" s="13"/>
      <c r="C357" s="13"/>
      <c r="D357" s="13"/>
    </row>
    <row r="358" spans="1:4" ht="12.5">
      <c r="A358" s="13"/>
      <c r="B358" s="13"/>
      <c r="C358" s="13"/>
      <c r="D358" s="13"/>
    </row>
    <row r="359" spans="1:4" ht="12.5">
      <c r="A359" s="13"/>
      <c r="B359" s="13"/>
      <c r="C359" s="13"/>
      <c r="D359" s="13"/>
    </row>
    <row r="360" spans="1:4" ht="12.5">
      <c r="A360" s="13"/>
      <c r="B360" s="13"/>
      <c r="C360" s="13"/>
      <c r="D360" s="13"/>
    </row>
    <row r="361" spans="1:4" ht="12.5">
      <c r="A361" s="13"/>
      <c r="B361" s="13"/>
      <c r="C361" s="13"/>
      <c r="D361" s="13"/>
    </row>
    <row r="362" spans="1:4" ht="12.5">
      <c r="A362" s="14"/>
      <c r="B362" s="14"/>
      <c r="C362" s="14"/>
      <c r="D362" s="14"/>
    </row>
    <row r="363" spans="1:4" ht="12.5">
      <c r="A363" s="14"/>
      <c r="B363" s="14"/>
      <c r="C363" s="14"/>
      <c r="D363" s="14"/>
    </row>
    <row r="364" spans="1:4" ht="12.5">
      <c r="A364" s="14"/>
      <c r="B364" s="14"/>
      <c r="C364" s="14"/>
      <c r="D364" s="14"/>
    </row>
    <row r="365" spans="1:4" ht="12.5">
      <c r="A365" s="14"/>
      <c r="B365" s="14"/>
      <c r="C365" s="14"/>
      <c r="D365" s="14"/>
    </row>
    <row r="366" spans="1:4" ht="12.5">
      <c r="A366" s="14"/>
      <c r="B366" s="14"/>
      <c r="C366" s="14"/>
      <c r="D366" s="14"/>
    </row>
    <row r="367" spans="1:4" ht="12.5">
      <c r="A367" s="14"/>
      <c r="B367" s="14"/>
      <c r="C367" s="14"/>
      <c r="D367" s="14"/>
    </row>
    <row r="368" spans="1:4" ht="12.5">
      <c r="A368" s="14"/>
      <c r="B368" s="14"/>
      <c r="C368" s="14"/>
      <c r="D368" s="14"/>
    </row>
    <row r="369" spans="1:4" ht="12.5">
      <c r="A369" s="14"/>
      <c r="B369" s="14"/>
      <c r="C369" s="14"/>
      <c r="D369" s="14"/>
    </row>
    <row r="370" spans="1:4" ht="12.5">
      <c r="A370" s="14"/>
      <c r="B370" s="14"/>
      <c r="C370" s="14"/>
      <c r="D370" s="14"/>
    </row>
    <row r="371" spans="1:4" ht="12.5">
      <c r="A371" s="14"/>
      <c r="B371" s="14"/>
      <c r="C371" s="14"/>
      <c r="D371" s="14"/>
    </row>
    <row r="372" spans="1:4" ht="12.5">
      <c r="A372" s="14"/>
      <c r="B372" s="14"/>
      <c r="C372" s="14"/>
      <c r="D372" s="14"/>
    </row>
    <row r="373" spans="1:4" ht="12.5">
      <c r="A373" s="14"/>
      <c r="B373" s="14"/>
      <c r="C373" s="14"/>
      <c r="D373" s="14"/>
    </row>
    <row r="374" spans="1:4" ht="12.5">
      <c r="A374" s="14"/>
      <c r="B374" s="14"/>
      <c r="C374" s="14"/>
      <c r="D374" s="14"/>
    </row>
    <row r="375" spans="1:4" ht="12.5">
      <c r="A375" s="14"/>
      <c r="B375" s="14"/>
      <c r="C375" s="14"/>
      <c r="D375" s="14"/>
    </row>
    <row r="376" spans="1:4" ht="12.5">
      <c r="A376" s="14"/>
      <c r="B376" s="14"/>
      <c r="C376" s="14"/>
      <c r="D376" s="14"/>
    </row>
    <row r="377" spans="1:4" ht="12.5">
      <c r="A377" s="14"/>
      <c r="B377" s="14"/>
      <c r="C377" s="14"/>
      <c r="D377" s="14"/>
    </row>
    <row r="378" spans="1:4" ht="12.5">
      <c r="A378" s="14"/>
      <c r="B378" s="14"/>
      <c r="C378" s="14"/>
      <c r="D378" s="14"/>
    </row>
    <row r="379" spans="1:4" ht="12.5">
      <c r="A379" s="14"/>
      <c r="B379" s="14"/>
      <c r="C379" s="14"/>
      <c r="D379" s="14"/>
    </row>
    <row r="380" spans="1:4" ht="12.5">
      <c r="A380" s="14"/>
      <c r="B380" s="14"/>
      <c r="C380" s="14"/>
      <c r="D380" s="14"/>
    </row>
    <row r="381" spans="1:4" ht="12.5">
      <c r="A381" s="14"/>
      <c r="B381" s="14"/>
      <c r="C381" s="14"/>
      <c r="D381" s="14"/>
    </row>
    <row r="382" spans="1:4" ht="12.5">
      <c r="A382" s="14"/>
      <c r="B382" s="14"/>
      <c r="C382" s="14"/>
      <c r="D382" s="14"/>
    </row>
    <row r="383" spans="1:4" ht="12.5">
      <c r="A383" s="14"/>
      <c r="B383" s="14"/>
      <c r="C383" s="14"/>
      <c r="D383" s="14"/>
    </row>
    <row r="384" spans="1:4" ht="12.5">
      <c r="A384" s="14"/>
      <c r="B384" s="14"/>
      <c r="C384" s="14"/>
      <c r="D384" s="14"/>
    </row>
    <row r="385" spans="1:4" ht="12.5">
      <c r="A385" s="14"/>
      <c r="B385" s="14"/>
      <c r="C385" s="14"/>
      <c r="D385" s="14"/>
    </row>
    <row r="386" spans="1:4" ht="12.5">
      <c r="A386" s="14"/>
      <c r="B386" s="14"/>
      <c r="C386" s="14"/>
      <c r="D386" s="14"/>
    </row>
    <row r="387" spans="1:4" ht="12.5">
      <c r="A387" s="14"/>
      <c r="B387" s="14"/>
      <c r="C387" s="14"/>
      <c r="D387" s="14"/>
    </row>
    <row r="388" spans="1:4" ht="12.5">
      <c r="A388" s="14"/>
      <c r="B388" s="14"/>
      <c r="C388" s="14"/>
      <c r="D388" s="14"/>
    </row>
    <row r="389" spans="1:4" ht="12.5">
      <c r="A389" s="14"/>
      <c r="B389" s="14"/>
      <c r="C389" s="14"/>
      <c r="D389" s="14"/>
    </row>
    <row r="390" spans="1:4" ht="12.5">
      <c r="A390" s="14"/>
      <c r="B390" s="14"/>
      <c r="C390" s="14"/>
      <c r="D390" s="14"/>
    </row>
    <row r="391" spans="1:4" ht="12.5">
      <c r="A391" s="14"/>
      <c r="B391" s="14"/>
      <c r="C391" s="14"/>
      <c r="D391" s="14"/>
    </row>
    <row r="392" spans="1:4" ht="12.5">
      <c r="A392" s="14"/>
      <c r="B392" s="14"/>
      <c r="C392" s="14"/>
      <c r="D392" s="14"/>
    </row>
    <row r="393" spans="1:4" ht="12.5">
      <c r="A393" s="14"/>
      <c r="B393" s="14"/>
      <c r="C393" s="14"/>
      <c r="D393" s="14"/>
    </row>
    <row r="394" spans="1:4" ht="12.5">
      <c r="A394" s="14"/>
      <c r="B394" s="14"/>
      <c r="C394" s="14"/>
      <c r="D394" s="14"/>
    </row>
    <row r="395" spans="1:4" ht="12.5">
      <c r="A395" s="14"/>
      <c r="B395" s="14"/>
      <c r="C395" s="14"/>
      <c r="D395" s="14"/>
    </row>
    <row r="396" spans="1:4" ht="12.5">
      <c r="A396" s="14"/>
      <c r="B396" s="14"/>
      <c r="C396" s="14"/>
      <c r="D396" s="14"/>
    </row>
    <row r="397" spans="1:4" ht="12.5">
      <c r="A397" s="14"/>
      <c r="B397" s="14"/>
      <c r="C397" s="14"/>
      <c r="D397" s="14"/>
    </row>
    <row r="398" spans="1:4" ht="12.5">
      <c r="A398" s="14"/>
      <c r="B398" s="14"/>
      <c r="C398" s="14"/>
      <c r="D398" s="14"/>
    </row>
    <row r="399" spans="1:4" ht="12.5">
      <c r="A399" s="14"/>
      <c r="B399" s="14"/>
      <c r="C399" s="14"/>
      <c r="D399" s="14"/>
    </row>
    <row r="400" spans="1:4" ht="12.5">
      <c r="A400" s="14"/>
      <c r="B400" s="14"/>
      <c r="C400" s="14"/>
      <c r="D400" s="14"/>
    </row>
    <row r="401" spans="1:4" ht="12.5">
      <c r="A401" s="14"/>
      <c r="B401" s="14"/>
      <c r="C401" s="14"/>
      <c r="D401" s="14"/>
    </row>
    <row r="402" spans="1:4" ht="12.5">
      <c r="A402" s="14"/>
      <c r="B402" s="14"/>
      <c r="C402" s="14"/>
      <c r="D402" s="14"/>
    </row>
    <row r="403" spans="1:4" ht="12.5">
      <c r="A403" s="14"/>
      <c r="B403" s="14"/>
      <c r="C403" s="14"/>
      <c r="D403" s="14"/>
    </row>
    <row r="404" spans="1:4" ht="12.5">
      <c r="A404" s="14"/>
      <c r="B404" s="14"/>
      <c r="C404" s="14"/>
      <c r="D404" s="14"/>
    </row>
    <row r="405" spans="1:4" ht="12.5">
      <c r="A405" s="14"/>
      <c r="B405" s="14"/>
      <c r="C405" s="14"/>
      <c r="D405" s="14"/>
    </row>
    <row r="406" spans="1:4" ht="12.5">
      <c r="A406" s="14"/>
      <c r="B406" s="14"/>
      <c r="C406" s="14"/>
      <c r="D406" s="14"/>
    </row>
    <row r="407" spans="1:4" ht="12.5">
      <c r="A407" s="14"/>
      <c r="B407" s="14"/>
      <c r="C407" s="14"/>
      <c r="D407" s="14"/>
    </row>
    <row r="408" spans="1:4" ht="12.5">
      <c r="A408" s="14"/>
      <c r="B408" s="14"/>
      <c r="C408" s="14"/>
      <c r="D408" s="14"/>
    </row>
    <row r="409" spans="1:4" ht="12.5">
      <c r="A409" s="14"/>
      <c r="B409" s="14"/>
      <c r="C409" s="14"/>
      <c r="D409" s="14"/>
    </row>
    <row r="410" spans="1:4" ht="12.5">
      <c r="A410" s="14"/>
      <c r="B410" s="14"/>
      <c r="C410" s="14"/>
      <c r="D410" s="14"/>
    </row>
    <row r="411" spans="1:4" ht="12.5">
      <c r="A411" s="14"/>
      <c r="B411" s="14"/>
      <c r="C411" s="14"/>
      <c r="D411" s="14"/>
    </row>
    <row r="412" spans="1:4" ht="12.5">
      <c r="A412" s="14"/>
      <c r="B412" s="14"/>
      <c r="C412" s="14"/>
      <c r="D412" s="14"/>
    </row>
    <row r="413" spans="1:4" ht="12.5">
      <c r="A413" s="14"/>
      <c r="B413" s="14"/>
      <c r="C413" s="14"/>
      <c r="D413" s="14"/>
    </row>
    <row r="414" spans="1:4" ht="12.5">
      <c r="A414" s="14"/>
      <c r="B414" s="14"/>
      <c r="C414" s="14"/>
      <c r="D414" s="14"/>
    </row>
    <row r="415" spans="1:4" ht="12.5">
      <c r="A415" s="14"/>
      <c r="B415" s="14"/>
      <c r="C415" s="14"/>
      <c r="D415" s="14"/>
    </row>
    <row r="416" spans="1:4" ht="12.5">
      <c r="A416" s="14"/>
      <c r="B416" s="14"/>
      <c r="C416" s="14"/>
      <c r="D416" s="14"/>
    </row>
    <row r="417" spans="1:4" ht="12.5">
      <c r="A417" s="14"/>
      <c r="B417" s="14"/>
      <c r="C417" s="14"/>
      <c r="D417" s="14"/>
    </row>
    <row r="418" spans="1:4" ht="12.5">
      <c r="A418" s="14"/>
      <c r="B418" s="14"/>
      <c r="C418" s="14"/>
      <c r="D418" s="14"/>
    </row>
    <row r="419" spans="1:4" ht="12.5">
      <c r="A419" s="14"/>
      <c r="B419" s="14"/>
      <c r="C419" s="14"/>
      <c r="D419" s="14"/>
    </row>
    <row r="420" spans="1:4" ht="12.5">
      <c r="A420" s="14"/>
      <c r="B420" s="14"/>
      <c r="C420" s="14"/>
      <c r="D420" s="14"/>
    </row>
    <row r="421" spans="1:4" ht="12.5">
      <c r="A421" s="14"/>
      <c r="B421" s="14"/>
      <c r="C421" s="14"/>
      <c r="D421" s="14"/>
    </row>
    <row r="422" spans="1:4" ht="12.5">
      <c r="A422" s="14"/>
      <c r="B422" s="14"/>
      <c r="C422" s="14"/>
      <c r="D422" s="14"/>
    </row>
    <row r="423" spans="1:4" ht="12.5">
      <c r="A423" s="14"/>
      <c r="B423" s="14"/>
      <c r="C423" s="14"/>
      <c r="D423" s="14"/>
    </row>
    <row r="424" spans="1:4" ht="12.5">
      <c r="A424" s="14"/>
      <c r="B424" s="14"/>
      <c r="C424" s="14"/>
      <c r="D424" s="14"/>
    </row>
    <row r="425" spans="1:4" ht="12.5">
      <c r="A425" s="14"/>
      <c r="B425" s="14"/>
      <c r="C425" s="14"/>
      <c r="D425" s="14"/>
    </row>
    <row r="426" spans="1:4" ht="12.5">
      <c r="A426" s="14"/>
      <c r="B426" s="14"/>
      <c r="C426" s="14"/>
      <c r="D426" s="14"/>
    </row>
    <row r="427" spans="1:4" ht="12.5">
      <c r="A427" s="14"/>
      <c r="B427" s="14"/>
      <c r="C427" s="14"/>
      <c r="D427" s="14"/>
    </row>
    <row r="428" spans="1:4" ht="12.5">
      <c r="A428" s="14"/>
      <c r="B428" s="14"/>
      <c r="C428" s="14"/>
      <c r="D428" s="14"/>
    </row>
    <row r="429" spans="1:4" ht="12.5">
      <c r="A429" s="14"/>
      <c r="B429" s="14"/>
      <c r="C429" s="14"/>
      <c r="D429" s="14"/>
    </row>
    <row r="430" spans="1:4" ht="12.5">
      <c r="A430" s="14"/>
      <c r="B430" s="14"/>
      <c r="C430" s="14"/>
      <c r="D430" s="14"/>
    </row>
    <row r="431" spans="1:4" ht="12.5">
      <c r="A431" s="14"/>
      <c r="B431" s="14"/>
      <c r="C431" s="14"/>
      <c r="D431" s="14"/>
    </row>
    <row r="432" spans="1:4" ht="12.5">
      <c r="A432" s="14"/>
      <c r="B432" s="14"/>
      <c r="C432" s="14"/>
      <c r="D432" s="14"/>
    </row>
    <row r="433" spans="1:4" ht="12.5">
      <c r="A433" s="14"/>
      <c r="B433" s="14"/>
      <c r="C433" s="14"/>
      <c r="D433" s="14"/>
    </row>
    <row r="434" spans="1:4" ht="12.5">
      <c r="A434" s="14"/>
      <c r="B434" s="14"/>
      <c r="C434" s="14"/>
      <c r="D434" s="14"/>
    </row>
    <row r="435" spans="1:4" ht="12.5">
      <c r="A435" s="14"/>
      <c r="B435" s="14"/>
      <c r="C435" s="14"/>
      <c r="D435" s="14"/>
    </row>
    <row r="436" spans="1:4" ht="12.5">
      <c r="A436" s="14"/>
      <c r="B436" s="14"/>
      <c r="C436" s="14"/>
      <c r="D436" s="14"/>
    </row>
    <row r="437" spans="1:4" ht="12.5">
      <c r="A437" s="14"/>
      <c r="B437" s="14"/>
      <c r="C437" s="14"/>
      <c r="D437" s="14"/>
    </row>
    <row r="438" spans="1:4" ht="12.5">
      <c r="A438" s="14"/>
      <c r="B438" s="14"/>
      <c r="C438" s="14"/>
      <c r="D438" s="14"/>
    </row>
    <row r="439" spans="1:4" ht="12.5">
      <c r="A439" s="14"/>
      <c r="B439" s="14"/>
      <c r="C439" s="14"/>
      <c r="D439" s="14"/>
    </row>
    <row r="440" spans="1:4" ht="12.5">
      <c r="A440" s="14"/>
      <c r="B440" s="14"/>
      <c r="C440" s="14"/>
      <c r="D440" s="14"/>
    </row>
    <row r="441" spans="1:4" ht="12.5">
      <c r="A441" s="14"/>
      <c r="B441" s="14"/>
      <c r="C441" s="14"/>
      <c r="D441" s="14"/>
    </row>
    <row r="442" spans="1:4" ht="12.5">
      <c r="A442" s="14"/>
      <c r="B442" s="14"/>
      <c r="C442" s="14"/>
      <c r="D442" s="14"/>
    </row>
    <row r="443" spans="1:4" ht="12.5">
      <c r="A443" s="14"/>
      <c r="B443" s="14"/>
      <c r="C443" s="14"/>
      <c r="D443" s="14"/>
    </row>
    <row r="444" spans="1:4" ht="12.5">
      <c r="A444" s="14"/>
      <c r="B444" s="14"/>
      <c r="C444" s="14"/>
      <c r="D444" s="14"/>
    </row>
    <row r="445" spans="1:4" ht="12.5">
      <c r="A445" s="14"/>
      <c r="B445" s="14"/>
      <c r="C445" s="14"/>
      <c r="D445" s="14"/>
    </row>
    <row r="446" spans="1:4" ht="12.5">
      <c r="A446" s="14"/>
      <c r="B446" s="14"/>
      <c r="C446" s="14"/>
      <c r="D446" s="14"/>
    </row>
    <row r="447" spans="1:4" ht="12.5">
      <c r="A447" s="14"/>
      <c r="B447" s="14"/>
      <c r="C447" s="14"/>
      <c r="D447" s="14"/>
    </row>
    <row r="448" spans="1:4" ht="12.5">
      <c r="A448" s="14"/>
      <c r="B448" s="14"/>
      <c r="C448" s="14"/>
      <c r="D448" s="14"/>
    </row>
    <row r="449" spans="1:4" ht="12.5">
      <c r="A449" s="14"/>
      <c r="B449" s="14"/>
      <c r="C449" s="14"/>
      <c r="D449" s="14"/>
    </row>
    <row r="450" spans="1:4" ht="12.5">
      <c r="A450" s="14"/>
      <c r="B450" s="14"/>
      <c r="C450" s="14"/>
      <c r="D450" s="14"/>
    </row>
    <row r="451" spans="1:4" ht="12.5">
      <c r="A451" s="14"/>
      <c r="B451" s="14"/>
      <c r="C451" s="14"/>
      <c r="D451" s="14"/>
    </row>
    <row r="452" spans="1:4" ht="12.5">
      <c r="A452" s="14"/>
      <c r="B452" s="14"/>
      <c r="C452" s="14"/>
      <c r="D452" s="14"/>
    </row>
    <row r="453" spans="1:4" ht="12.5">
      <c r="A453" s="14"/>
      <c r="B453" s="14"/>
      <c r="C453" s="14"/>
      <c r="D453" s="14"/>
    </row>
    <row r="454" spans="1:4" ht="12.5">
      <c r="A454" s="14"/>
      <c r="B454" s="14"/>
      <c r="C454" s="14"/>
      <c r="D454" s="14"/>
    </row>
    <row r="455" spans="1:4" ht="12.5">
      <c r="A455" s="14"/>
      <c r="B455" s="14"/>
      <c r="C455" s="14"/>
      <c r="D455" s="14"/>
    </row>
    <row r="456" spans="1:4" ht="12.5">
      <c r="A456" s="14"/>
      <c r="B456" s="14"/>
      <c r="C456" s="14"/>
      <c r="D456" s="14"/>
    </row>
    <row r="457" spans="1:4" ht="12.5">
      <c r="A457" s="14"/>
      <c r="B457" s="14"/>
      <c r="C457" s="14"/>
      <c r="D457" s="14"/>
    </row>
    <row r="458" spans="1:4" ht="12.5">
      <c r="A458" s="14"/>
      <c r="B458" s="14"/>
      <c r="C458" s="14"/>
      <c r="D458" s="14"/>
    </row>
    <row r="459" spans="1:4" ht="12.5">
      <c r="A459" s="14"/>
      <c r="B459" s="14"/>
      <c r="C459" s="14"/>
      <c r="D459" s="14"/>
    </row>
    <row r="460" spans="1:4" ht="12.5">
      <c r="A460" s="14"/>
      <c r="B460" s="14"/>
      <c r="C460" s="14"/>
      <c r="D460" s="14"/>
    </row>
    <row r="461" spans="1:4" ht="12.5">
      <c r="A461" s="14"/>
      <c r="B461" s="14"/>
      <c r="C461" s="14"/>
      <c r="D461" s="14"/>
    </row>
    <row r="462" spans="1:4" ht="12.5">
      <c r="A462" s="14"/>
      <c r="B462" s="14"/>
      <c r="C462" s="14"/>
      <c r="D462" s="14"/>
    </row>
    <row r="463" spans="1:4" ht="12.5">
      <c r="A463" s="14"/>
      <c r="B463" s="14"/>
      <c r="C463" s="14"/>
      <c r="D463" s="14"/>
    </row>
    <row r="464" spans="1:4" ht="12.5">
      <c r="A464" s="14"/>
      <c r="B464" s="14"/>
      <c r="C464" s="14"/>
      <c r="D464" s="14"/>
    </row>
    <row r="465" spans="1:4" ht="12.5">
      <c r="A465" s="14"/>
      <c r="B465" s="14"/>
      <c r="C465" s="14"/>
      <c r="D465" s="14"/>
    </row>
    <row r="466" spans="1:4" ht="12.5">
      <c r="A466" s="14"/>
      <c r="B466" s="14"/>
      <c r="C466" s="14"/>
      <c r="D466" s="14"/>
    </row>
    <row r="467" spans="1:4" ht="12.5">
      <c r="A467" s="14"/>
      <c r="B467" s="14"/>
      <c r="C467" s="14"/>
      <c r="D467" s="14"/>
    </row>
    <row r="468" spans="1:4" ht="12.5">
      <c r="A468" s="14"/>
      <c r="B468" s="14"/>
      <c r="C468" s="14"/>
      <c r="D468" s="14"/>
    </row>
    <row r="469" spans="1:4" ht="12.5">
      <c r="A469" s="14"/>
      <c r="B469" s="14"/>
      <c r="C469" s="14"/>
      <c r="D469" s="14"/>
    </row>
    <row r="470" spans="1:4" ht="12.5">
      <c r="A470" s="14"/>
      <c r="B470" s="14"/>
      <c r="C470" s="14"/>
      <c r="D470" s="14"/>
    </row>
    <row r="471" spans="1:4" ht="12.5">
      <c r="A471" s="14"/>
      <c r="B471" s="14"/>
      <c r="C471" s="14"/>
      <c r="D471" s="14"/>
    </row>
    <row r="472" spans="1:4" ht="12.5">
      <c r="A472" s="14"/>
      <c r="B472" s="14"/>
      <c r="C472" s="14"/>
      <c r="D472" s="14"/>
    </row>
    <row r="473" spans="1:4" ht="12.5">
      <c r="A473" s="14"/>
      <c r="B473" s="14"/>
      <c r="C473" s="14"/>
      <c r="D473" s="14"/>
    </row>
    <row r="474" spans="1:4" ht="12.5">
      <c r="A474" s="14"/>
      <c r="B474" s="14"/>
      <c r="C474" s="14"/>
      <c r="D474" s="14"/>
    </row>
    <row r="475" spans="1:4" ht="12.5">
      <c r="A475" s="14"/>
      <c r="B475" s="14"/>
      <c r="C475" s="14"/>
      <c r="D475" s="14"/>
    </row>
    <row r="476" spans="1:4" ht="12.5">
      <c r="A476" s="14"/>
      <c r="B476" s="14"/>
      <c r="C476" s="14"/>
      <c r="D476" s="14"/>
    </row>
    <row r="477" spans="1:4" ht="12.5">
      <c r="A477" s="14"/>
      <c r="B477" s="14"/>
      <c r="C477" s="14"/>
      <c r="D477" s="14"/>
    </row>
    <row r="478" spans="1:4" ht="12.5">
      <c r="A478" s="14"/>
      <c r="B478" s="14"/>
      <c r="C478" s="14"/>
      <c r="D478" s="14"/>
    </row>
    <row r="479" spans="1:4" ht="12.5">
      <c r="A479" s="14"/>
      <c r="B479" s="14"/>
      <c r="C479" s="14"/>
      <c r="D479" s="14"/>
    </row>
    <row r="480" spans="1:4" ht="12.5">
      <c r="A480" s="14"/>
      <c r="B480" s="14"/>
      <c r="C480" s="14"/>
      <c r="D480" s="14"/>
    </row>
    <row r="481" spans="1:4" ht="12.5">
      <c r="A481" s="14"/>
      <c r="B481" s="14"/>
      <c r="C481" s="14"/>
      <c r="D481" s="14"/>
    </row>
    <row r="482" spans="1:4" ht="12.5">
      <c r="A482" s="14"/>
      <c r="B482" s="14"/>
      <c r="C482" s="14"/>
      <c r="D482" s="14"/>
    </row>
    <row r="483" spans="1:4" ht="12.5">
      <c r="A483" s="14"/>
      <c r="B483" s="14"/>
      <c r="C483" s="14"/>
      <c r="D483" s="14"/>
    </row>
    <row r="484" spans="1:4" ht="12.5">
      <c r="A484" s="14"/>
      <c r="B484" s="14"/>
      <c r="C484" s="14"/>
      <c r="D484" s="14"/>
    </row>
    <row r="485" spans="1:4" ht="12.5">
      <c r="A485" s="14"/>
      <c r="B485" s="14"/>
      <c r="C485" s="14"/>
      <c r="D485" s="14"/>
    </row>
    <row r="486" spans="1:4" ht="12.5">
      <c r="A486" s="14"/>
      <c r="B486" s="14"/>
      <c r="C486" s="14"/>
      <c r="D486" s="14"/>
    </row>
    <row r="487" spans="1:4" ht="12.5">
      <c r="A487" s="14"/>
      <c r="B487" s="14"/>
      <c r="C487" s="14"/>
      <c r="D487" s="14"/>
    </row>
    <row r="488" spans="1:4" ht="12.5">
      <c r="A488" s="14"/>
      <c r="B488" s="14"/>
      <c r="C488" s="14"/>
      <c r="D488" s="14"/>
    </row>
    <row r="489" spans="1:4" ht="12.5">
      <c r="A489" s="14"/>
      <c r="B489" s="14"/>
      <c r="C489" s="14"/>
      <c r="D489" s="14"/>
    </row>
    <row r="490" spans="1:4" ht="12.5">
      <c r="A490" s="14"/>
      <c r="B490" s="14"/>
      <c r="C490" s="14"/>
      <c r="D490" s="14"/>
    </row>
    <row r="491" spans="1:4" ht="12.5">
      <c r="A491" s="14"/>
      <c r="B491" s="14"/>
      <c r="C491" s="14"/>
      <c r="D491" s="14"/>
    </row>
    <row r="492" spans="1:4" ht="12.5">
      <c r="A492" s="14"/>
      <c r="B492" s="14"/>
      <c r="C492" s="14"/>
      <c r="D492" s="14"/>
    </row>
    <row r="493" spans="1:4" ht="12.5">
      <c r="A493" s="14"/>
      <c r="B493" s="14"/>
      <c r="C493" s="14"/>
      <c r="D493" s="14"/>
    </row>
    <row r="494" spans="1:4" ht="12.5">
      <c r="A494" s="14"/>
      <c r="B494" s="14"/>
      <c r="C494" s="14"/>
      <c r="D494" s="14"/>
    </row>
    <row r="495" spans="1:4" ht="12.5">
      <c r="A495" s="14"/>
      <c r="B495" s="14"/>
      <c r="C495" s="14"/>
      <c r="D495" s="14"/>
    </row>
    <row r="496" spans="1:4" ht="12.5">
      <c r="A496" s="14"/>
      <c r="B496" s="14"/>
      <c r="C496" s="14"/>
      <c r="D496" s="14"/>
    </row>
    <row r="497" spans="1:4" ht="12.5">
      <c r="A497" s="14"/>
      <c r="B497" s="14"/>
      <c r="C497" s="14"/>
      <c r="D497" s="14"/>
    </row>
    <row r="498" spans="1:4" ht="12.5">
      <c r="A498" s="14"/>
      <c r="B498" s="14"/>
      <c r="C498" s="14"/>
      <c r="D498" s="14"/>
    </row>
    <row r="499" spans="1:4" ht="12.5">
      <c r="A499" s="14"/>
      <c r="B499" s="14"/>
      <c r="C499" s="14"/>
      <c r="D499" s="14"/>
    </row>
    <row r="500" spans="1:4" ht="12.5">
      <c r="A500" s="14"/>
      <c r="B500" s="14"/>
      <c r="C500" s="14"/>
      <c r="D500" s="14"/>
    </row>
    <row r="501" spans="1:4" ht="12.5">
      <c r="A501" s="14"/>
      <c r="B501" s="14"/>
      <c r="C501" s="14"/>
      <c r="D501" s="14"/>
    </row>
    <row r="502" spans="1:4" ht="12.5">
      <c r="A502" s="14"/>
      <c r="B502" s="14"/>
      <c r="C502" s="14"/>
      <c r="D502" s="14"/>
    </row>
    <row r="503" spans="1:4" ht="12.5">
      <c r="A503" s="14"/>
      <c r="B503" s="14"/>
      <c r="C503" s="14"/>
      <c r="D503" s="14"/>
    </row>
    <row r="504" spans="1:4" ht="12.5">
      <c r="A504" s="14"/>
      <c r="B504" s="14"/>
      <c r="C504" s="14"/>
      <c r="D504" s="14"/>
    </row>
    <row r="505" spans="1:4" ht="12.5">
      <c r="A505" s="14"/>
      <c r="B505" s="14"/>
      <c r="C505" s="14"/>
      <c r="D505" s="14"/>
    </row>
    <row r="506" spans="1:4" ht="12.5">
      <c r="A506" s="14"/>
      <c r="B506" s="14"/>
      <c r="C506" s="14"/>
      <c r="D506" s="14"/>
    </row>
    <row r="507" spans="1:4" ht="12.5">
      <c r="A507" s="14"/>
      <c r="B507" s="14"/>
      <c r="C507" s="14"/>
      <c r="D507" s="14"/>
    </row>
    <row r="508" spans="1:4" ht="12.5">
      <c r="A508" s="14"/>
      <c r="B508" s="14"/>
      <c r="C508" s="14"/>
      <c r="D508" s="14"/>
    </row>
    <row r="509" spans="1:4" ht="12.5">
      <c r="A509" s="14"/>
      <c r="B509" s="14"/>
      <c r="C509" s="14"/>
      <c r="D509" s="14"/>
    </row>
    <row r="510" spans="1:4" ht="12.5">
      <c r="A510" s="14"/>
      <c r="B510" s="14"/>
      <c r="C510" s="14"/>
      <c r="D510" s="14"/>
    </row>
    <row r="511" spans="1:4" ht="12.5">
      <c r="A511" s="14"/>
      <c r="B511" s="14"/>
      <c r="C511" s="14"/>
      <c r="D511" s="14"/>
    </row>
    <row r="512" spans="1:4" ht="12.5">
      <c r="A512" s="14"/>
      <c r="B512" s="14"/>
      <c r="C512" s="14"/>
      <c r="D512" s="14"/>
    </row>
    <row r="513" spans="1:4" ht="12.5">
      <c r="A513" s="14"/>
      <c r="B513" s="14"/>
      <c r="C513" s="14"/>
      <c r="D513" s="14"/>
    </row>
    <row r="514" spans="1:4" ht="12.5">
      <c r="A514" s="14"/>
      <c r="B514" s="14"/>
      <c r="C514" s="14"/>
      <c r="D514" s="14"/>
    </row>
    <row r="515" spans="1:4" ht="12.5">
      <c r="A515" s="14"/>
      <c r="B515" s="14"/>
      <c r="C515" s="14"/>
      <c r="D515" s="14"/>
    </row>
    <row r="516" spans="1:4" ht="12.5">
      <c r="A516" s="14"/>
      <c r="B516" s="14"/>
      <c r="C516" s="14"/>
      <c r="D516" s="14"/>
    </row>
    <row r="517" spans="1:4" ht="12.5">
      <c r="A517" s="14"/>
      <c r="B517" s="14"/>
      <c r="C517" s="14"/>
      <c r="D517" s="14"/>
    </row>
    <row r="518" spans="1:4" ht="12.5">
      <c r="A518" s="14"/>
      <c r="B518" s="14"/>
      <c r="C518" s="14"/>
      <c r="D518" s="14"/>
    </row>
    <row r="519" spans="1:4" ht="12.5">
      <c r="A519" s="14"/>
      <c r="B519" s="14"/>
      <c r="C519" s="14"/>
      <c r="D519" s="14"/>
    </row>
    <row r="520" spans="1:4" ht="12.5">
      <c r="A520" s="14"/>
      <c r="B520" s="14"/>
      <c r="C520" s="14"/>
      <c r="D520" s="14"/>
    </row>
    <row r="521" spans="1:4" ht="12.5">
      <c r="A521" s="14"/>
      <c r="B521" s="14"/>
      <c r="C521" s="14"/>
      <c r="D521" s="14"/>
    </row>
    <row r="522" spans="1:4" ht="12.5">
      <c r="A522" s="14"/>
      <c r="B522" s="14"/>
      <c r="C522" s="14"/>
      <c r="D522" s="14"/>
    </row>
    <row r="523" spans="1:4" ht="12.5">
      <c r="A523" s="14"/>
      <c r="B523" s="14"/>
      <c r="C523" s="14"/>
      <c r="D523" s="14"/>
    </row>
    <row r="524" spans="1:4" ht="12.5">
      <c r="A524" s="14"/>
      <c r="B524" s="14"/>
      <c r="C524" s="14"/>
      <c r="D524" s="14"/>
    </row>
    <row r="525" spans="1:4" ht="12.5">
      <c r="A525" s="14"/>
      <c r="B525" s="14"/>
      <c r="C525" s="14"/>
      <c r="D525" s="14"/>
    </row>
    <row r="526" spans="1:4" ht="12.5">
      <c r="A526" s="14"/>
      <c r="B526" s="14"/>
      <c r="C526" s="14"/>
      <c r="D526" s="14"/>
    </row>
    <row r="527" spans="1:4" ht="12.5">
      <c r="A527" s="14"/>
      <c r="B527" s="14"/>
      <c r="C527" s="14"/>
      <c r="D527" s="14"/>
    </row>
    <row r="528" spans="1:4" ht="12.5">
      <c r="A528" s="14"/>
      <c r="B528" s="14"/>
      <c r="C528" s="14"/>
      <c r="D528" s="14"/>
    </row>
    <row r="529" spans="1:4" ht="12.5">
      <c r="A529" s="14"/>
      <c r="B529" s="14"/>
      <c r="C529" s="14"/>
      <c r="D529" s="14"/>
    </row>
    <row r="530" spans="1:4" ht="12.5">
      <c r="A530" s="14"/>
      <c r="B530" s="14"/>
      <c r="C530" s="14"/>
      <c r="D530" s="14"/>
    </row>
    <row r="531" spans="1:4" ht="12.5">
      <c r="A531" s="14"/>
      <c r="B531" s="14"/>
      <c r="C531" s="14"/>
      <c r="D531" s="14"/>
    </row>
    <row r="532" spans="1:4" ht="12.5">
      <c r="A532" s="14"/>
      <c r="B532" s="14"/>
      <c r="C532" s="14"/>
      <c r="D532" s="14"/>
    </row>
    <row r="533" spans="1:4" ht="12.5">
      <c r="A533" s="14"/>
      <c r="B533" s="14"/>
      <c r="C533" s="14"/>
      <c r="D533" s="14"/>
    </row>
    <row r="534" spans="1:4" ht="12.5">
      <c r="A534" s="14"/>
      <c r="B534" s="14"/>
      <c r="C534" s="14"/>
      <c r="D534" s="14"/>
    </row>
    <row r="535" spans="1:4" ht="12.5">
      <c r="A535" s="14"/>
      <c r="B535" s="14"/>
      <c r="C535" s="14"/>
      <c r="D535" s="14"/>
    </row>
    <row r="536" spans="1:4" ht="12.5">
      <c r="A536" s="14"/>
      <c r="B536" s="14"/>
      <c r="C536" s="14"/>
      <c r="D536" s="14"/>
    </row>
    <row r="537" spans="1:4" ht="12.5">
      <c r="A537" s="14"/>
      <c r="B537" s="14"/>
      <c r="C537" s="14"/>
      <c r="D537" s="14"/>
    </row>
    <row r="538" spans="1:4" ht="12.5">
      <c r="A538" s="14"/>
      <c r="B538" s="14"/>
      <c r="C538" s="14"/>
      <c r="D538" s="14"/>
    </row>
    <row r="539" spans="1:4" ht="12.5">
      <c r="A539" s="14"/>
      <c r="B539" s="14"/>
      <c r="C539" s="14"/>
      <c r="D539" s="14"/>
    </row>
    <row r="540" spans="1:4" ht="12.5">
      <c r="A540" s="14"/>
      <c r="B540" s="14"/>
      <c r="C540" s="14"/>
      <c r="D540" s="14"/>
    </row>
    <row r="541" spans="1:4" ht="12.5">
      <c r="A541" s="14"/>
      <c r="B541" s="14"/>
      <c r="C541" s="14"/>
      <c r="D541" s="14"/>
    </row>
    <row r="542" spans="1:4" ht="12.5">
      <c r="A542" s="14"/>
      <c r="B542" s="14"/>
      <c r="C542" s="14"/>
      <c r="D542" s="14"/>
    </row>
    <row r="543" spans="1:4" ht="12.5">
      <c r="A543" s="14"/>
      <c r="B543" s="14"/>
      <c r="C543" s="14"/>
      <c r="D543" s="14"/>
    </row>
    <row r="544" spans="1:4" ht="12.5">
      <c r="A544" s="14"/>
      <c r="B544" s="14"/>
      <c r="C544" s="14"/>
      <c r="D544" s="14"/>
    </row>
    <row r="545" spans="1:4" ht="12.5">
      <c r="A545" s="14"/>
      <c r="B545" s="14"/>
      <c r="C545" s="14"/>
      <c r="D545" s="14"/>
    </row>
    <row r="546" spans="1:4" ht="12.5">
      <c r="A546" s="14"/>
      <c r="B546" s="14"/>
      <c r="C546" s="14"/>
      <c r="D546" s="14"/>
    </row>
    <row r="547" spans="1:4" ht="12.5">
      <c r="A547" s="14"/>
      <c r="B547" s="14"/>
      <c r="C547" s="14"/>
      <c r="D547" s="14"/>
    </row>
    <row r="548" spans="1:4" ht="12.5">
      <c r="A548" s="14"/>
      <c r="B548" s="14"/>
      <c r="C548" s="14"/>
      <c r="D548" s="14"/>
    </row>
    <row r="549" spans="1:4" ht="12.5">
      <c r="A549" s="14"/>
      <c r="B549" s="14"/>
      <c r="C549" s="14"/>
      <c r="D549" s="14"/>
    </row>
    <row r="550" spans="1:4" ht="12.5">
      <c r="A550" s="14"/>
      <c r="B550" s="14"/>
      <c r="C550" s="14"/>
      <c r="D550" s="14"/>
    </row>
    <row r="551" spans="1:4" ht="12.5">
      <c r="A551" s="14"/>
      <c r="B551" s="14"/>
      <c r="C551" s="14"/>
      <c r="D551" s="14"/>
    </row>
    <row r="552" spans="1:4" ht="12.5">
      <c r="A552" s="14"/>
      <c r="B552" s="14"/>
      <c r="C552" s="14"/>
      <c r="D552" s="14"/>
    </row>
    <row r="553" spans="1:4" ht="12.5">
      <c r="A553" s="14"/>
      <c r="B553" s="14"/>
      <c r="C553" s="14"/>
      <c r="D553" s="14"/>
    </row>
    <row r="554" spans="1:4" ht="12.5">
      <c r="A554" s="14"/>
      <c r="B554" s="14"/>
      <c r="C554" s="14"/>
      <c r="D554" s="14"/>
    </row>
    <row r="555" spans="1:4" ht="12.5">
      <c r="A555" s="14"/>
      <c r="B555" s="14"/>
      <c r="C555" s="14"/>
      <c r="D555" s="14"/>
    </row>
    <row r="556" spans="1:4" ht="12.5">
      <c r="A556" s="14"/>
      <c r="B556" s="14"/>
      <c r="C556" s="14"/>
      <c r="D556" s="14"/>
    </row>
    <row r="557" spans="1:4" ht="12.5">
      <c r="A557" s="14"/>
      <c r="B557" s="14"/>
      <c r="C557" s="14"/>
      <c r="D557" s="14"/>
    </row>
    <row r="558" spans="1:4" ht="12.5">
      <c r="A558" s="14"/>
      <c r="B558" s="14"/>
      <c r="C558" s="14"/>
      <c r="D558" s="14"/>
    </row>
    <row r="559" spans="1:4" ht="12.5">
      <c r="A559" s="14"/>
      <c r="B559" s="14"/>
      <c r="C559" s="14"/>
      <c r="D559" s="14"/>
    </row>
    <row r="560" spans="1:4" ht="12.5">
      <c r="A560" s="14"/>
      <c r="B560" s="14"/>
      <c r="C560" s="14"/>
      <c r="D560" s="14"/>
    </row>
    <row r="561" spans="1:4" ht="12.5">
      <c r="A561" s="14"/>
      <c r="B561" s="14"/>
      <c r="C561" s="14"/>
      <c r="D561" s="14"/>
    </row>
    <row r="562" spans="1:4" ht="12.5">
      <c r="A562" s="14"/>
      <c r="B562" s="14"/>
      <c r="C562" s="14"/>
      <c r="D562" s="14"/>
    </row>
    <row r="563" spans="1:4" ht="12.5">
      <c r="A563" s="14"/>
      <c r="B563" s="14"/>
      <c r="C563" s="14"/>
      <c r="D563" s="14"/>
    </row>
    <row r="564" spans="1:4" ht="12.5">
      <c r="A564" s="14"/>
      <c r="B564" s="14"/>
      <c r="C564" s="14"/>
      <c r="D564" s="14"/>
    </row>
    <row r="565" spans="1:4" ht="12.5">
      <c r="A565" s="14"/>
      <c r="B565" s="14"/>
      <c r="C565" s="14"/>
      <c r="D565" s="14"/>
    </row>
    <row r="566" spans="1:4" ht="12.5">
      <c r="A566" s="14"/>
      <c r="B566" s="14"/>
      <c r="C566" s="14"/>
      <c r="D566" s="14"/>
    </row>
    <row r="567" spans="1:4" ht="12.5">
      <c r="A567" s="14"/>
      <c r="B567" s="14"/>
      <c r="C567" s="14"/>
      <c r="D567" s="14"/>
    </row>
    <row r="568" spans="1:4" ht="12.5">
      <c r="A568" s="14"/>
      <c r="B568" s="14"/>
      <c r="C568" s="14"/>
      <c r="D568" s="14"/>
    </row>
    <row r="569" spans="1:4" ht="12.5">
      <c r="A569" s="14"/>
      <c r="B569" s="14"/>
      <c r="C569" s="14"/>
      <c r="D569" s="14"/>
    </row>
    <row r="570" spans="1:4" ht="12.5">
      <c r="A570" s="14"/>
      <c r="B570" s="14"/>
      <c r="C570" s="14"/>
      <c r="D570" s="14"/>
    </row>
    <row r="571" spans="1:4" ht="12.5">
      <c r="A571" s="14"/>
      <c r="B571" s="14"/>
      <c r="C571" s="14"/>
      <c r="D571" s="14"/>
    </row>
    <row r="572" spans="1:4" ht="12.5">
      <c r="A572" s="14"/>
      <c r="B572" s="14"/>
      <c r="C572" s="14"/>
      <c r="D572" s="14"/>
    </row>
    <row r="573" spans="1:4" ht="12.5">
      <c r="A573" s="14"/>
      <c r="B573" s="14"/>
      <c r="C573" s="14"/>
      <c r="D573" s="14"/>
    </row>
    <row r="574" spans="1:4" ht="12.5">
      <c r="A574" s="14"/>
      <c r="B574" s="14"/>
      <c r="C574" s="14"/>
      <c r="D574" s="14"/>
    </row>
    <row r="575" spans="1:4" ht="12.5">
      <c r="A575" s="14"/>
      <c r="B575" s="14"/>
      <c r="C575" s="14"/>
      <c r="D575" s="14"/>
    </row>
    <row r="576" spans="1:4" ht="12.5">
      <c r="A576" s="14"/>
      <c r="B576" s="14"/>
      <c r="C576" s="14"/>
      <c r="D576" s="14"/>
    </row>
    <row r="577" spans="1:4" ht="12.5">
      <c r="A577" s="14"/>
      <c r="B577" s="14"/>
      <c r="C577" s="14"/>
      <c r="D577" s="14"/>
    </row>
    <row r="578" spans="1:4" ht="12.5">
      <c r="A578" s="14"/>
      <c r="B578" s="14"/>
      <c r="C578" s="14"/>
      <c r="D578" s="14"/>
    </row>
    <row r="579" spans="1:4" ht="12.5">
      <c r="A579" s="14"/>
      <c r="B579" s="14"/>
      <c r="C579" s="14"/>
      <c r="D579" s="14"/>
    </row>
    <row r="580" spans="1:4" ht="12.5">
      <c r="A580" s="14"/>
      <c r="B580" s="14"/>
      <c r="C580" s="14"/>
      <c r="D580" s="14"/>
    </row>
    <row r="581" spans="1:4" ht="12.5">
      <c r="A581" s="14"/>
      <c r="B581" s="14"/>
      <c r="C581" s="14"/>
      <c r="D581" s="14"/>
    </row>
    <row r="582" spans="1:4" ht="12.5">
      <c r="A582" s="14"/>
      <c r="B582" s="14"/>
      <c r="C582" s="14"/>
      <c r="D582" s="14"/>
    </row>
    <row r="583" spans="1:4" ht="12.5">
      <c r="A583" s="14"/>
      <c r="B583" s="14"/>
      <c r="C583" s="14"/>
      <c r="D583" s="14"/>
    </row>
    <row r="584" spans="1:4" ht="12.5">
      <c r="A584" s="14"/>
      <c r="B584" s="14"/>
      <c r="C584" s="14"/>
      <c r="D584" s="14"/>
    </row>
    <row r="585" spans="1:4" ht="12.5">
      <c r="A585" s="14"/>
      <c r="B585" s="14"/>
      <c r="C585" s="14"/>
      <c r="D585" s="14"/>
    </row>
    <row r="586" spans="1:4" ht="12.5">
      <c r="A586" s="14"/>
      <c r="B586" s="14"/>
      <c r="C586" s="14"/>
      <c r="D586" s="14"/>
    </row>
    <row r="587" spans="1:4" ht="12.5">
      <c r="A587" s="14"/>
      <c r="B587" s="14"/>
      <c r="C587" s="14"/>
      <c r="D587" s="14"/>
    </row>
    <row r="588" spans="1:4" ht="12.5">
      <c r="A588" s="14"/>
      <c r="B588" s="14"/>
      <c r="C588" s="14"/>
      <c r="D588" s="14"/>
    </row>
    <row r="589" spans="1:4" ht="12.5">
      <c r="A589" s="14"/>
      <c r="B589" s="14"/>
      <c r="C589" s="14"/>
      <c r="D589" s="14"/>
    </row>
    <row r="590" spans="1:4" ht="12.5">
      <c r="A590" s="14"/>
      <c r="B590" s="14"/>
      <c r="C590" s="14"/>
      <c r="D590" s="14"/>
    </row>
    <row r="591" spans="1:4" ht="12.5">
      <c r="A591" s="14"/>
      <c r="B591" s="14"/>
      <c r="C591" s="14"/>
      <c r="D591" s="14"/>
    </row>
    <row r="592" spans="1:4" ht="12.5">
      <c r="A592" s="14"/>
      <c r="B592" s="14"/>
      <c r="C592" s="14"/>
      <c r="D592" s="14"/>
    </row>
    <row r="593" spans="1:4" ht="12.5">
      <c r="A593" s="14"/>
      <c r="B593" s="14"/>
      <c r="C593" s="14"/>
      <c r="D593" s="14"/>
    </row>
    <row r="594" spans="1:4" ht="12.5">
      <c r="A594" s="14"/>
      <c r="B594" s="14"/>
      <c r="C594" s="14"/>
      <c r="D594" s="14"/>
    </row>
    <row r="595" spans="1:4" ht="12.5">
      <c r="A595" s="14"/>
      <c r="B595" s="14"/>
      <c r="C595" s="14"/>
      <c r="D595" s="14"/>
    </row>
    <row r="596" spans="1:4" ht="12.5">
      <c r="A596" s="14"/>
      <c r="B596" s="14"/>
      <c r="C596" s="14"/>
      <c r="D596" s="14"/>
    </row>
    <row r="597" spans="1:4" ht="12.5">
      <c r="A597" s="14"/>
      <c r="B597" s="14"/>
      <c r="C597" s="14"/>
      <c r="D597" s="14"/>
    </row>
    <row r="598" spans="1:4" ht="12.5">
      <c r="A598" s="14"/>
      <c r="B598" s="14"/>
      <c r="C598" s="14"/>
      <c r="D598" s="14"/>
    </row>
    <row r="599" spans="1:4" ht="12.5">
      <c r="A599" s="14"/>
      <c r="B599" s="14"/>
      <c r="C599" s="14"/>
      <c r="D599" s="14"/>
    </row>
    <row r="600" spans="1:4" ht="12.5">
      <c r="A600" s="14"/>
      <c r="B600" s="14"/>
      <c r="C600" s="14"/>
      <c r="D600" s="14"/>
    </row>
    <row r="601" spans="1:4" ht="12.5">
      <c r="A601" s="14"/>
      <c r="B601" s="14"/>
      <c r="C601" s="14"/>
      <c r="D601" s="14"/>
    </row>
    <row r="602" spans="1:4" ht="12.5">
      <c r="A602" s="14"/>
      <c r="B602" s="14"/>
      <c r="C602" s="14"/>
      <c r="D602" s="14"/>
    </row>
    <row r="603" spans="1:4" ht="12.5">
      <c r="A603" s="14"/>
      <c r="B603" s="14"/>
      <c r="C603" s="14"/>
      <c r="D603" s="14"/>
    </row>
    <row r="604" spans="1:4" ht="12.5">
      <c r="A604" s="14"/>
      <c r="B604" s="14"/>
      <c r="C604" s="14"/>
      <c r="D604" s="14"/>
    </row>
    <row r="605" spans="1:4" ht="12.5">
      <c r="A605" s="14"/>
      <c r="B605" s="14"/>
      <c r="C605" s="14"/>
      <c r="D605" s="14"/>
    </row>
    <row r="606" spans="1:4" ht="12.5">
      <c r="A606" s="14"/>
      <c r="B606" s="14"/>
      <c r="C606" s="14"/>
      <c r="D606" s="14"/>
    </row>
    <row r="607" spans="1:4" ht="12.5">
      <c r="A607" s="14"/>
      <c r="B607" s="14"/>
      <c r="C607" s="14"/>
      <c r="D607" s="14"/>
    </row>
    <row r="608" spans="1:4" ht="12.5">
      <c r="A608" s="14"/>
      <c r="B608" s="14"/>
      <c r="C608" s="14"/>
      <c r="D608" s="14"/>
    </row>
    <row r="609" spans="1:4" ht="12.5">
      <c r="A609" s="14"/>
      <c r="B609" s="14"/>
      <c r="C609" s="14"/>
      <c r="D609" s="14"/>
    </row>
    <row r="610" spans="1:4" ht="12.5">
      <c r="A610" s="14"/>
      <c r="B610" s="14"/>
      <c r="C610" s="14"/>
      <c r="D610" s="14"/>
    </row>
    <row r="611" spans="1:4" ht="12.5">
      <c r="A611" s="14"/>
      <c r="B611" s="14"/>
      <c r="C611" s="14"/>
      <c r="D611" s="14"/>
    </row>
    <row r="612" spans="1:4" ht="12.5">
      <c r="A612" s="14"/>
      <c r="B612" s="14"/>
      <c r="C612" s="14"/>
      <c r="D612" s="14"/>
    </row>
    <row r="613" spans="1:4" ht="12.5">
      <c r="A613" s="14"/>
      <c r="B613" s="14"/>
      <c r="C613" s="14"/>
      <c r="D613" s="14"/>
    </row>
    <row r="614" spans="1:4" ht="12.5">
      <c r="A614" s="14"/>
      <c r="B614" s="14"/>
      <c r="C614" s="14"/>
      <c r="D614" s="14"/>
    </row>
    <row r="615" spans="1:4" ht="12.5">
      <c r="A615" s="14"/>
      <c r="B615" s="14"/>
      <c r="C615" s="14"/>
      <c r="D615" s="14"/>
    </row>
    <row r="616" spans="1:4" ht="12.5">
      <c r="A616" s="14"/>
      <c r="B616" s="14"/>
      <c r="C616" s="14"/>
      <c r="D616" s="14"/>
    </row>
    <row r="617" spans="1:4" ht="12.5">
      <c r="A617" s="14"/>
      <c r="B617" s="14"/>
      <c r="C617" s="14"/>
      <c r="D617" s="14"/>
    </row>
    <row r="618" spans="1:4" ht="12.5">
      <c r="A618" s="14"/>
      <c r="B618" s="14"/>
      <c r="C618" s="14"/>
      <c r="D618" s="14"/>
    </row>
    <row r="619" spans="1:4" ht="12.5">
      <c r="A619" s="14"/>
      <c r="B619" s="14"/>
      <c r="C619" s="14"/>
      <c r="D619" s="14"/>
    </row>
    <row r="620" spans="1:4" ht="12.5">
      <c r="A620" s="14"/>
      <c r="B620" s="14"/>
      <c r="C620" s="14"/>
      <c r="D620" s="14"/>
    </row>
    <row r="621" spans="1:4" ht="12.5">
      <c r="A621" s="14"/>
      <c r="B621" s="14"/>
      <c r="C621" s="14"/>
      <c r="D621" s="14"/>
    </row>
    <row r="622" spans="1:4" ht="12.5">
      <c r="A622" s="14"/>
      <c r="B622" s="14"/>
      <c r="C622" s="14"/>
      <c r="D622" s="14"/>
    </row>
    <row r="623" spans="1:4" ht="12.5">
      <c r="A623" s="14"/>
      <c r="B623" s="14"/>
      <c r="C623" s="14"/>
      <c r="D623" s="14"/>
    </row>
    <row r="624" spans="1:4" ht="12.5">
      <c r="A624" s="14"/>
      <c r="B624" s="14"/>
      <c r="C624" s="14"/>
      <c r="D624" s="14"/>
    </row>
    <row r="625" spans="1:4" ht="12.5">
      <c r="A625" s="14"/>
      <c r="B625" s="14"/>
      <c r="C625" s="14"/>
      <c r="D625" s="14"/>
    </row>
    <row r="626" spans="1:4" ht="12.5">
      <c r="A626" s="14"/>
      <c r="B626" s="14"/>
      <c r="C626" s="14"/>
      <c r="D626" s="14"/>
    </row>
    <row r="627" spans="1:4" ht="12.5">
      <c r="A627" s="14"/>
      <c r="B627" s="14"/>
      <c r="C627" s="14"/>
      <c r="D627" s="14"/>
    </row>
    <row r="628" spans="1:4" ht="12.5">
      <c r="A628" s="14"/>
      <c r="B628" s="14"/>
      <c r="C628" s="14"/>
      <c r="D628" s="14"/>
    </row>
    <row r="629" spans="1:4" ht="12.5">
      <c r="A629" s="14"/>
      <c r="B629" s="14"/>
      <c r="C629" s="14"/>
      <c r="D629" s="14"/>
    </row>
    <row r="630" spans="1:4" ht="12.5">
      <c r="A630" s="14"/>
      <c r="B630" s="14"/>
      <c r="C630" s="14"/>
      <c r="D630" s="14"/>
    </row>
    <row r="631" spans="1:4" ht="12.5">
      <c r="A631" s="14"/>
      <c r="B631" s="14"/>
      <c r="C631" s="14"/>
      <c r="D631" s="14"/>
    </row>
    <row r="632" spans="1:4" ht="12.5">
      <c r="A632" s="14"/>
      <c r="B632" s="14"/>
      <c r="C632" s="14"/>
      <c r="D632" s="14"/>
    </row>
    <row r="633" spans="1:4" ht="12.5">
      <c r="A633" s="14"/>
      <c r="B633" s="14"/>
      <c r="C633" s="14"/>
      <c r="D633" s="14"/>
    </row>
    <row r="634" spans="1:4" ht="12.5">
      <c r="A634" s="14"/>
      <c r="B634" s="14"/>
      <c r="C634" s="14"/>
      <c r="D634" s="14"/>
    </row>
    <row r="635" spans="1:4" ht="12.5">
      <c r="A635" s="14"/>
      <c r="B635" s="14"/>
      <c r="C635" s="14"/>
      <c r="D635" s="14"/>
    </row>
    <row r="636" spans="1:4" ht="12.5">
      <c r="A636" s="14"/>
      <c r="B636" s="14"/>
      <c r="C636" s="14"/>
      <c r="D636" s="14"/>
    </row>
    <row r="637" spans="1:4" ht="12.5">
      <c r="A637" s="14"/>
      <c r="B637" s="14"/>
      <c r="C637" s="14"/>
      <c r="D637" s="14"/>
    </row>
    <row r="638" spans="1:4" ht="12.5">
      <c r="A638" s="14"/>
      <c r="B638" s="14"/>
      <c r="C638" s="14"/>
      <c r="D638" s="14"/>
    </row>
    <row r="639" spans="1:4" ht="12.5">
      <c r="A639" s="14"/>
      <c r="B639" s="14"/>
      <c r="C639" s="14"/>
      <c r="D639" s="14"/>
    </row>
    <row r="640" spans="1:4" ht="12.5">
      <c r="A640" s="14"/>
      <c r="B640" s="14"/>
      <c r="C640" s="14"/>
      <c r="D640" s="14"/>
    </row>
    <row r="641" spans="1:4" ht="12.5">
      <c r="A641" s="14"/>
      <c r="B641" s="14"/>
      <c r="C641" s="14"/>
      <c r="D641" s="14"/>
    </row>
    <row r="642" spans="1:4" ht="12.5">
      <c r="A642" s="14"/>
      <c r="B642" s="14"/>
      <c r="C642" s="14"/>
      <c r="D642" s="14"/>
    </row>
    <row r="643" spans="1:4" ht="12.5">
      <c r="A643" s="14"/>
      <c r="B643" s="14"/>
      <c r="C643" s="14"/>
      <c r="D643" s="14"/>
    </row>
    <row r="644" spans="1:4" ht="12.5">
      <c r="A644" s="14"/>
      <c r="B644" s="14"/>
      <c r="C644" s="14"/>
      <c r="D644" s="14"/>
    </row>
    <row r="645" spans="1:4" ht="12.5">
      <c r="A645" s="14"/>
      <c r="B645" s="14"/>
      <c r="C645" s="14"/>
      <c r="D645" s="14"/>
    </row>
    <row r="646" spans="1:4" ht="12.5">
      <c r="A646" s="14"/>
      <c r="B646" s="14"/>
      <c r="C646" s="14"/>
      <c r="D646" s="14"/>
    </row>
    <row r="647" spans="1:4" ht="12.5">
      <c r="A647" s="14"/>
      <c r="B647" s="14"/>
      <c r="C647" s="14"/>
      <c r="D647" s="14"/>
    </row>
    <row r="648" spans="1:4" ht="12.5">
      <c r="A648" s="14"/>
      <c r="B648" s="14"/>
      <c r="C648" s="14"/>
      <c r="D648" s="14"/>
    </row>
    <row r="649" spans="1:4" ht="12.5">
      <c r="A649" s="14"/>
      <c r="B649" s="14"/>
      <c r="C649" s="14"/>
      <c r="D649" s="14"/>
    </row>
    <row r="650" spans="1:4" ht="12.5">
      <c r="A650" s="14"/>
      <c r="B650" s="14"/>
      <c r="C650" s="14"/>
      <c r="D650" s="14"/>
    </row>
    <row r="651" spans="1:4" ht="12.5">
      <c r="A651" s="14"/>
      <c r="B651" s="14"/>
      <c r="C651" s="14"/>
      <c r="D651" s="14"/>
    </row>
    <row r="652" spans="1:4" ht="12.5">
      <c r="A652" s="14"/>
      <c r="B652" s="14"/>
      <c r="C652" s="14"/>
      <c r="D652" s="14"/>
    </row>
    <row r="653" spans="1:4" ht="12.5">
      <c r="A653" s="14"/>
      <c r="B653" s="14"/>
      <c r="C653" s="14"/>
      <c r="D653" s="14"/>
    </row>
    <row r="654" spans="1:4" ht="12.5">
      <c r="A654" s="14"/>
      <c r="B654" s="14"/>
      <c r="C654" s="14"/>
      <c r="D654" s="14"/>
    </row>
    <row r="655" spans="1:4" ht="12.5">
      <c r="A655" s="14"/>
      <c r="B655" s="14"/>
      <c r="C655" s="14"/>
      <c r="D655" s="14"/>
    </row>
    <row r="656" spans="1:4" ht="12.5">
      <c r="A656" s="14"/>
      <c r="B656" s="14"/>
      <c r="C656" s="14"/>
      <c r="D656" s="14"/>
    </row>
    <row r="657" spans="1:4" ht="12.5">
      <c r="A657" s="14"/>
      <c r="B657" s="14"/>
      <c r="C657" s="14"/>
      <c r="D657" s="14"/>
    </row>
    <row r="658" spans="1:4" ht="12.5">
      <c r="A658" s="14"/>
      <c r="B658" s="14"/>
      <c r="C658" s="14"/>
      <c r="D658" s="14"/>
    </row>
    <row r="659" spans="1:4" ht="12.5">
      <c r="A659" s="14"/>
      <c r="B659" s="14"/>
      <c r="C659" s="14"/>
      <c r="D659" s="14"/>
    </row>
    <row r="660" spans="1:4" ht="12.5">
      <c r="A660" s="14"/>
      <c r="B660" s="14"/>
      <c r="C660" s="14"/>
      <c r="D660" s="14"/>
    </row>
    <row r="661" spans="1:4" ht="12.5">
      <c r="A661" s="14"/>
      <c r="B661" s="14"/>
      <c r="C661" s="14"/>
      <c r="D661" s="14"/>
    </row>
    <row r="662" spans="1:4" ht="12.5">
      <c r="A662" s="14"/>
      <c r="B662" s="14"/>
      <c r="C662" s="14"/>
      <c r="D662" s="14"/>
    </row>
    <row r="663" spans="1:4" ht="12.5">
      <c r="A663" s="14"/>
      <c r="B663" s="14"/>
      <c r="C663" s="14"/>
      <c r="D663" s="14"/>
    </row>
    <row r="664" spans="1:4" ht="12.5">
      <c r="A664" s="14"/>
      <c r="B664" s="14"/>
      <c r="C664" s="14"/>
      <c r="D664" s="14"/>
    </row>
    <row r="665" spans="1:4" ht="12.5">
      <c r="A665" s="14"/>
      <c r="B665" s="14"/>
      <c r="C665" s="14"/>
      <c r="D665" s="14"/>
    </row>
    <row r="666" spans="1:4" ht="12.5">
      <c r="A666" s="14"/>
      <c r="B666" s="14"/>
      <c r="C666" s="14"/>
      <c r="D666" s="14"/>
    </row>
    <row r="667" spans="1:4" ht="12.5">
      <c r="A667" s="14"/>
      <c r="B667" s="14"/>
      <c r="C667" s="14"/>
      <c r="D667" s="14"/>
    </row>
    <row r="668" spans="1:4" ht="12.5">
      <c r="A668" s="14"/>
      <c r="B668" s="14"/>
      <c r="C668" s="14"/>
      <c r="D668" s="14"/>
    </row>
    <row r="669" spans="1:4" ht="12.5">
      <c r="A669" s="14"/>
      <c r="B669" s="14"/>
      <c r="C669" s="14"/>
      <c r="D669" s="14"/>
    </row>
    <row r="670" spans="1:4" ht="12.5">
      <c r="A670" s="14"/>
      <c r="B670" s="14"/>
      <c r="C670" s="14"/>
      <c r="D670" s="14"/>
    </row>
    <row r="671" spans="1:4" ht="12.5">
      <c r="A671" s="14"/>
      <c r="B671" s="14"/>
      <c r="C671" s="14"/>
      <c r="D671" s="14"/>
    </row>
    <row r="672" spans="1:4" ht="12.5">
      <c r="A672" s="14"/>
      <c r="B672" s="14"/>
      <c r="C672" s="14"/>
      <c r="D672" s="14"/>
    </row>
    <row r="673" spans="1:4" ht="12.5">
      <c r="A673" s="14"/>
      <c r="B673" s="14"/>
      <c r="C673" s="14"/>
      <c r="D673" s="14"/>
    </row>
    <row r="674" spans="1:4" ht="12.5">
      <c r="A674" s="14"/>
      <c r="B674" s="14"/>
      <c r="C674" s="14"/>
      <c r="D674" s="14"/>
    </row>
    <row r="675" spans="1:4" ht="12.5">
      <c r="A675" s="14"/>
      <c r="B675" s="14"/>
      <c r="C675" s="14"/>
      <c r="D675" s="14"/>
    </row>
    <row r="676" spans="1:4" ht="12.5">
      <c r="A676" s="14"/>
      <c r="B676" s="14"/>
      <c r="C676" s="14"/>
      <c r="D676" s="14"/>
    </row>
    <row r="677" spans="1:4" ht="12.5">
      <c r="A677" s="14"/>
      <c r="B677" s="14"/>
      <c r="C677" s="14"/>
      <c r="D677" s="14"/>
    </row>
    <row r="678" spans="1:4" ht="12.5">
      <c r="A678" s="14"/>
      <c r="B678" s="14"/>
      <c r="C678" s="14"/>
      <c r="D678" s="14"/>
    </row>
    <row r="679" spans="1:4" ht="12.5">
      <c r="A679" s="14"/>
      <c r="B679" s="14"/>
      <c r="C679" s="14"/>
      <c r="D679" s="14"/>
    </row>
    <row r="680" spans="1:4" ht="12.5">
      <c r="A680" s="14"/>
      <c r="B680" s="14"/>
      <c r="C680" s="14"/>
      <c r="D680" s="14"/>
    </row>
    <row r="681" spans="1:4" ht="12.5">
      <c r="A681" s="14"/>
      <c r="B681" s="14"/>
      <c r="C681" s="14"/>
      <c r="D681" s="14"/>
    </row>
    <row r="682" spans="1:4" ht="12.5">
      <c r="A682" s="14"/>
      <c r="B682" s="14"/>
      <c r="C682" s="14"/>
      <c r="D682" s="14"/>
    </row>
    <row r="683" spans="1:4" ht="12.5">
      <c r="A683" s="14"/>
      <c r="B683" s="14"/>
      <c r="C683" s="14"/>
      <c r="D683" s="14"/>
    </row>
    <row r="684" spans="1:4" ht="12.5">
      <c r="A684" s="14"/>
      <c r="B684" s="14"/>
      <c r="C684" s="14"/>
      <c r="D684" s="14"/>
    </row>
    <row r="685" spans="1:4" ht="12.5">
      <c r="A685" s="14"/>
      <c r="B685" s="14"/>
      <c r="C685" s="14"/>
      <c r="D685" s="14"/>
    </row>
    <row r="686" spans="1:4" ht="12.5">
      <c r="A686" s="14"/>
      <c r="B686" s="14"/>
      <c r="C686" s="14"/>
      <c r="D686" s="14"/>
    </row>
    <row r="687" spans="1:4" ht="12.5">
      <c r="A687" s="14"/>
      <c r="B687" s="14"/>
      <c r="C687" s="14"/>
      <c r="D687" s="14"/>
    </row>
    <row r="688" spans="1:4" ht="12.5">
      <c r="A688" s="14"/>
      <c r="B688" s="14"/>
      <c r="C688" s="14"/>
      <c r="D688" s="14"/>
    </row>
    <row r="689" spans="1:4" ht="12.5">
      <c r="A689" s="14"/>
      <c r="B689" s="14"/>
      <c r="C689" s="14"/>
      <c r="D689" s="14"/>
    </row>
    <row r="690" spans="1:4" ht="12.5">
      <c r="A690" s="14"/>
      <c r="B690" s="14"/>
      <c r="C690" s="14"/>
      <c r="D690" s="14"/>
    </row>
    <row r="691" spans="1:4" ht="12.5">
      <c r="A691" s="14"/>
      <c r="B691" s="14"/>
      <c r="C691" s="14"/>
      <c r="D691" s="14"/>
    </row>
    <row r="692" spans="1:4" ht="12.5">
      <c r="A692" s="14"/>
      <c r="B692" s="14"/>
      <c r="C692" s="14"/>
      <c r="D692" s="14"/>
    </row>
    <row r="693" spans="1:4" ht="12.5">
      <c r="A693" s="14"/>
      <c r="B693" s="14"/>
      <c r="C693" s="14"/>
      <c r="D693" s="14"/>
    </row>
    <row r="694" spans="1:4" ht="12.5">
      <c r="A694" s="14"/>
      <c r="B694" s="14"/>
      <c r="C694" s="14"/>
      <c r="D694" s="14"/>
    </row>
    <row r="695" spans="1:4" ht="12.5">
      <c r="A695" s="14"/>
      <c r="B695" s="14"/>
      <c r="C695" s="14"/>
      <c r="D695" s="14"/>
    </row>
    <row r="696" spans="1:4" ht="12.5">
      <c r="A696" s="14"/>
      <c r="B696" s="14"/>
      <c r="C696" s="14"/>
      <c r="D696" s="14"/>
    </row>
    <row r="697" spans="1:4" ht="12.5">
      <c r="A697" s="14"/>
      <c r="B697" s="14"/>
      <c r="C697" s="14"/>
      <c r="D697" s="14"/>
    </row>
    <row r="698" spans="1:4" ht="12.5">
      <c r="A698" s="14"/>
      <c r="B698" s="14"/>
      <c r="C698" s="14"/>
      <c r="D698" s="14"/>
    </row>
    <row r="699" spans="1:4" ht="12.5">
      <c r="A699" s="14"/>
      <c r="B699" s="14"/>
      <c r="C699" s="14"/>
      <c r="D699" s="14"/>
    </row>
    <row r="700" spans="1:4" ht="12.5">
      <c r="A700" s="14"/>
      <c r="B700" s="14"/>
      <c r="C700" s="14"/>
      <c r="D700" s="14"/>
    </row>
    <row r="701" spans="1:4" ht="12.5">
      <c r="A701" s="14"/>
      <c r="B701" s="14"/>
      <c r="C701" s="14"/>
      <c r="D701" s="14"/>
    </row>
    <row r="702" spans="1:4" ht="12.5">
      <c r="A702" s="14"/>
      <c r="B702" s="14"/>
      <c r="C702" s="14"/>
      <c r="D702" s="14"/>
    </row>
    <row r="703" spans="1:4" ht="12.5">
      <c r="A703" s="14"/>
      <c r="B703" s="14"/>
      <c r="C703" s="14"/>
      <c r="D703" s="14"/>
    </row>
    <row r="704" spans="1:4" ht="12.5">
      <c r="A704" s="14"/>
      <c r="B704" s="14"/>
      <c r="C704" s="14"/>
      <c r="D704" s="14"/>
    </row>
    <row r="705" spans="1:4" ht="12.5">
      <c r="A705" s="14"/>
      <c r="B705" s="14"/>
      <c r="C705" s="14"/>
      <c r="D705" s="14"/>
    </row>
    <row r="706" spans="1:4" ht="12.5">
      <c r="A706" s="14"/>
      <c r="B706" s="14"/>
      <c r="C706" s="14"/>
      <c r="D706" s="14"/>
    </row>
    <row r="707" spans="1:4" ht="12.5">
      <c r="A707" s="14"/>
      <c r="B707" s="14"/>
      <c r="C707" s="14"/>
      <c r="D707" s="14"/>
    </row>
    <row r="708" spans="1:4" ht="12.5">
      <c r="A708" s="14"/>
      <c r="B708" s="14"/>
      <c r="C708" s="14"/>
      <c r="D708" s="14"/>
    </row>
    <row r="709" spans="1:4" ht="12.5">
      <c r="A709" s="14"/>
      <c r="B709" s="14"/>
      <c r="C709" s="14"/>
      <c r="D709" s="14"/>
    </row>
    <row r="710" spans="1:4" ht="12.5">
      <c r="A710" s="14"/>
      <c r="B710" s="14"/>
      <c r="C710" s="14"/>
      <c r="D710" s="14"/>
    </row>
    <row r="711" spans="1:4" ht="12.5">
      <c r="A711" s="14"/>
      <c r="B711" s="14"/>
      <c r="C711" s="14"/>
      <c r="D711" s="14"/>
    </row>
    <row r="712" spans="1:4" ht="12.5">
      <c r="A712" s="14"/>
      <c r="B712" s="14"/>
      <c r="C712" s="14"/>
      <c r="D712" s="14"/>
    </row>
    <row r="713" spans="1:4" ht="12.5">
      <c r="A713" s="14"/>
      <c r="B713" s="14"/>
      <c r="C713" s="14"/>
      <c r="D713" s="14"/>
    </row>
    <row r="714" spans="1:4" ht="12.5">
      <c r="A714" s="14"/>
      <c r="B714" s="14"/>
      <c r="C714" s="14"/>
      <c r="D714" s="14"/>
    </row>
    <row r="715" spans="1:4" ht="12.5">
      <c r="A715" s="14"/>
      <c r="B715" s="14"/>
      <c r="C715" s="14"/>
      <c r="D715" s="14"/>
    </row>
    <row r="716" spans="1:4" ht="12.5">
      <c r="A716" s="14"/>
      <c r="B716" s="14"/>
      <c r="C716" s="14"/>
      <c r="D716" s="14"/>
    </row>
    <row r="717" spans="1:4" ht="12.5">
      <c r="A717" s="14"/>
      <c r="B717" s="14"/>
      <c r="C717" s="14"/>
      <c r="D717" s="14"/>
    </row>
    <row r="718" spans="1:4" ht="12.5">
      <c r="A718" s="14"/>
      <c r="B718" s="14"/>
      <c r="C718" s="14"/>
      <c r="D718" s="14"/>
    </row>
    <row r="719" spans="1:4" ht="12.5">
      <c r="A719" s="14"/>
      <c r="B719" s="14"/>
      <c r="C719" s="14"/>
      <c r="D719" s="14"/>
    </row>
    <row r="720" spans="1:4" ht="12.5">
      <c r="A720" s="14"/>
      <c r="B720" s="14"/>
      <c r="C720" s="14"/>
      <c r="D720" s="14"/>
    </row>
    <row r="721" spans="1:4" ht="12.5">
      <c r="A721" s="14"/>
      <c r="B721" s="14"/>
      <c r="C721" s="14"/>
      <c r="D721" s="14"/>
    </row>
    <row r="722" spans="1:4" ht="12.5">
      <c r="A722" s="14"/>
      <c r="B722" s="14"/>
      <c r="C722" s="14"/>
      <c r="D722" s="14"/>
    </row>
    <row r="723" spans="1:4" ht="12.5">
      <c r="A723" s="14"/>
      <c r="B723" s="14"/>
      <c r="C723" s="14"/>
      <c r="D723" s="14"/>
    </row>
    <row r="724" spans="1:4" ht="12.5">
      <c r="A724" s="14"/>
      <c r="B724" s="14"/>
      <c r="C724" s="14"/>
      <c r="D724" s="14"/>
    </row>
    <row r="725" spans="1:4" ht="12.5">
      <c r="A725" s="14"/>
      <c r="B725" s="14"/>
      <c r="C725" s="14"/>
      <c r="D725" s="14"/>
    </row>
    <row r="726" spans="1:4" ht="12.5">
      <c r="A726" s="14"/>
      <c r="B726" s="14"/>
      <c r="C726" s="14"/>
      <c r="D726" s="14"/>
    </row>
    <row r="727" spans="1:4" ht="12.5">
      <c r="A727" s="14"/>
      <c r="B727" s="14"/>
      <c r="C727" s="14"/>
      <c r="D727" s="14"/>
    </row>
    <row r="728" spans="1:4" ht="12.5">
      <c r="A728" s="14"/>
      <c r="B728" s="14"/>
      <c r="C728" s="14"/>
      <c r="D728" s="14"/>
    </row>
    <row r="729" spans="1:4" ht="12.5">
      <c r="A729" s="14"/>
      <c r="B729" s="14"/>
      <c r="C729" s="14"/>
      <c r="D729" s="14"/>
    </row>
    <row r="730" spans="1:4" ht="12.5">
      <c r="A730" s="14"/>
      <c r="B730" s="14"/>
      <c r="C730" s="14"/>
      <c r="D730" s="14"/>
    </row>
    <row r="731" spans="1:4" ht="12.5">
      <c r="A731" s="14"/>
      <c r="B731" s="14"/>
      <c r="C731" s="14"/>
      <c r="D731" s="14"/>
    </row>
    <row r="732" spans="1:4" ht="12.5">
      <c r="A732" s="14"/>
      <c r="B732" s="14"/>
      <c r="C732" s="14"/>
      <c r="D732" s="14"/>
    </row>
    <row r="733" spans="1:4" ht="12.5">
      <c r="A733" s="14"/>
      <c r="B733" s="14"/>
      <c r="C733" s="14"/>
      <c r="D733" s="14"/>
    </row>
    <row r="734" spans="1:4" ht="12.5">
      <c r="A734" s="14"/>
      <c r="B734" s="14"/>
      <c r="C734" s="14"/>
      <c r="D734" s="14"/>
    </row>
    <row r="735" spans="1:4" ht="12.5">
      <c r="A735" s="14"/>
      <c r="B735" s="14"/>
      <c r="C735" s="14"/>
      <c r="D735" s="14"/>
    </row>
    <row r="736" spans="1:4" ht="12.5">
      <c r="A736" s="14"/>
      <c r="B736" s="14"/>
      <c r="C736" s="14"/>
      <c r="D736" s="14"/>
    </row>
    <row r="737" spans="1:4" ht="12.5">
      <c r="A737" s="14"/>
      <c r="B737" s="14"/>
      <c r="C737" s="14"/>
      <c r="D737" s="14"/>
    </row>
    <row r="738" spans="1:4" ht="12.5">
      <c r="A738" s="14"/>
      <c r="B738" s="14"/>
      <c r="C738" s="14"/>
      <c r="D738" s="14"/>
    </row>
    <row r="739" spans="1:4" ht="12.5">
      <c r="A739" s="14"/>
      <c r="B739" s="14"/>
      <c r="C739" s="14"/>
      <c r="D739" s="14"/>
    </row>
    <row r="740" spans="1:4" ht="12.5">
      <c r="A740" s="14"/>
      <c r="B740" s="14"/>
      <c r="C740" s="14"/>
      <c r="D740" s="14"/>
    </row>
    <row r="741" spans="1:4" ht="12.5">
      <c r="A741" s="14"/>
      <c r="B741" s="14"/>
      <c r="C741" s="14"/>
      <c r="D741" s="14"/>
    </row>
    <row r="742" spans="1:4" ht="12.5">
      <c r="A742" s="14"/>
      <c r="B742" s="14"/>
      <c r="C742" s="14"/>
      <c r="D742" s="14"/>
    </row>
    <row r="743" spans="1:4" ht="12.5">
      <c r="A743" s="14"/>
      <c r="B743" s="14"/>
      <c r="C743" s="14"/>
      <c r="D743" s="14"/>
    </row>
    <row r="744" spans="1:4" ht="12.5">
      <c r="A744" s="14"/>
      <c r="B744" s="14"/>
      <c r="C744" s="14"/>
      <c r="D744" s="14"/>
    </row>
    <row r="745" spans="1:4" ht="12.5">
      <c r="A745" s="14"/>
      <c r="B745" s="14"/>
      <c r="C745" s="14"/>
      <c r="D745" s="14"/>
    </row>
    <row r="746" spans="1:4" ht="12.5">
      <c r="A746" s="14"/>
      <c r="B746" s="14"/>
      <c r="C746" s="14"/>
      <c r="D746" s="14"/>
    </row>
    <row r="747" spans="1:4" ht="12.5">
      <c r="A747" s="14"/>
      <c r="B747" s="14"/>
      <c r="C747" s="14"/>
      <c r="D747" s="14"/>
    </row>
    <row r="748" spans="1:4" ht="12.5">
      <c r="A748" s="14"/>
      <c r="B748" s="14"/>
      <c r="C748" s="14"/>
      <c r="D748" s="14"/>
    </row>
    <row r="749" spans="1:4" ht="12.5">
      <c r="A749" s="14"/>
      <c r="B749" s="14"/>
      <c r="C749" s="14"/>
      <c r="D749" s="14"/>
    </row>
    <row r="750" spans="1:4" ht="12.5">
      <c r="A750" s="14"/>
      <c r="B750" s="14"/>
      <c r="C750" s="14"/>
      <c r="D750" s="14"/>
    </row>
    <row r="751" spans="1:4" ht="12.5">
      <c r="A751" s="14"/>
      <c r="B751" s="14"/>
      <c r="C751" s="14"/>
      <c r="D751" s="14"/>
    </row>
    <row r="752" spans="1:4" ht="12.5">
      <c r="A752" s="14"/>
      <c r="B752" s="14"/>
      <c r="C752" s="14"/>
      <c r="D752" s="14"/>
    </row>
    <row r="753" spans="1:4" ht="12.5">
      <c r="A753" s="14"/>
      <c r="B753" s="14"/>
      <c r="C753" s="14"/>
      <c r="D753" s="14"/>
    </row>
    <row r="754" spans="1:4" ht="12.5">
      <c r="A754" s="14"/>
      <c r="B754" s="14"/>
      <c r="C754" s="14"/>
      <c r="D754" s="14"/>
    </row>
    <row r="755" spans="1:4" ht="12.5">
      <c r="A755" s="14"/>
      <c r="B755" s="14"/>
      <c r="C755" s="14"/>
      <c r="D755" s="14"/>
    </row>
    <row r="756" spans="1:4" ht="12.5">
      <c r="A756" s="14"/>
      <c r="B756" s="14"/>
      <c r="C756" s="14"/>
      <c r="D756" s="14"/>
    </row>
    <row r="757" spans="1:4" ht="12.5">
      <c r="A757" s="14"/>
      <c r="B757" s="14"/>
      <c r="C757" s="14"/>
      <c r="D757" s="14"/>
    </row>
    <row r="758" spans="1:4" ht="12.5">
      <c r="A758" s="14"/>
      <c r="B758" s="14"/>
      <c r="C758" s="14"/>
      <c r="D758" s="14"/>
    </row>
    <row r="759" spans="1:4" ht="12.5">
      <c r="A759" s="14"/>
      <c r="B759" s="14"/>
      <c r="C759" s="14"/>
      <c r="D759" s="14"/>
    </row>
    <row r="760" spans="1:4" ht="12.5">
      <c r="A760" s="14"/>
      <c r="B760" s="14"/>
      <c r="C760" s="14"/>
      <c r="D760" s="14"/>
    </row>
    <row r="761" spans="1:4" ht="12.5">
      <c r="A761" s="14"/>
      <c r="B761" s="14"/>
      <c r="C761" s="14"/>
      <c r="D761" s="14"/>
    </row>
    <row r="762" spans="1:4" ht="12.5">
      <c r="A762" s="14"/>
      <c r="B762" s="14"/>
      <c r="C762" s="14"/>
      <c r="D762" s="14"/>
    </row>
    <row r="763" spans="1:4" ht="12.5">
      <c r="A763" s="14"/>
      <c r="B763" s="14"/>
      <c r="C763" s="14"/>
      <c r="D763" s="14"/>
    </row>
    <row r="764" spans="1:4" ht="12.5">
      <c r="A764" s="14"/>
      <c r="B764" s="14"/>
      <c r="C764" s="14"/>
      <c r="D764" s="14"/>
    </row>
    <row r="765" spans="1:4" ht="12.5">
      <c r="A765" s="14"/>
      <c r="B765" s="14"/>
      <c r="C765" s="14"/>
      <c r="D765" s="14"/>
    </row>
    <row r="766" spans="1:4" ht="12.5">
      <c r="A766" s="14"/>
      <c r="B766" s="14"/>
      <c r="C766" s="14"/>
      <c r="D766" s="14"/>
    </row>
    <row r="767" spans="1:4" ht="12.5">
      <c r="A767" s="14"/>
      <c r="B767" s="14"/>
      <c r="C767" s="14"/>
      <c r="D767" s="14"/>
    </row>
    <row r="768" spans="1:4" ht="12.5">
      <c r="A768" s="14"/>
      <c r="B768" s="14"/>
      <c r="C768" s="14"/>
      <c r="D768" s="14"/>
    </row>
    <row r="769" spans="1:4" ht="12.5">
      <c r="A769" s="14"/>
      <c r="B769" s="14"/>
      <c r="C769" s="14"/>
      <c r="D769" s="14"/>
    </row>
    <row r="770" spans="1:4" ht="12.5">
      <c r="A770" s="14"/>
      <c r="B770" s="14"/>
      <c r="C770" s="14"/>
      <c r="D770" s="14"/>
    </row>
    <row r="771" spans="1:4" ht="12.5">
      <c r="A771" s="14"/>
      <c r="B771" s="14"/>
      <c r="C771" s="14"/>
      <c r="D771" s="14"/>
    </row>
    <row r="772" spans="1:4" ht="12.5">
      <c r="A772" s="14"/>
      <c r="B772" s="14"/>
      <c r="C772" s="14"/>
      <c r="D772" s="14"/>
    </row>
    <row r="773" spans="1:4" ht="12.5">
      <c r="A773" s="14"/>
      <c r="B773" s="14"/>
      <c r="C773" s="14"/>
      <c r="D773" s="14"/>
    </row>
    <row r="774" spans="1:4" ht="12.5">
      <c r="A774" s="14"/>
      <c r="B774" s="14"/>
      <c r="C774" s="14"/>
      <c r="D774" s="14"/>
    </row>
    <row r="775" spans="1:4" ht="12.5">
      <c r="A775" s="14"/>
      <c r="B775" s="14"/>
      <c r="C775" s="14"/>
      <c r="D775" s="14"/>
    </row>
    <row r="776" spans="1:4" ht="12.5">
      <c r="A776" s="14"/>
      <c r="B776" s="14"/>
      <c r="C776" s="14"/>
      <c r="D776" s="14"/>
    </row>
    <row r="777" spans="1:4" ht="12.5">
      <c r="A777" s="14"/>
      <c r="B777" s="14"/>
      <c r="C777" s="14"/>
      <c r="D777" s="14"/>
    </row>
    <row r="778" spans="1:4" ht="12.5">
      <c r="A778" s="14"/>
      <c r="B778" s="14"/>
      <c r="C778" s="14"/>
      <c r="D778" s="14"/>
    </row>
    <row r="779" spans="1:4" ht="12.5">
      <c r="A779" s="14"/>
      <c r="B779" s="14"/>
      <c r="C779" s="14"/>
      <c r="D779" s="14"/>
    </row>
    <row r="780" spans="1:4" ht="12.5">
      <c r="A780" s="14"/>
      <c r="B780" s="14"/>
      <c r="C780" s="14"/>
      <c r="D780" s="14"/>
    </row>
    <row r="781" spans="1:4" ht="12.5">
      <c r="A781" s="14"/>
      <c r="B781" s="14"/>
      <c r="C781" s="14"/>
      <c r="D781" s="14"/>
    </row>
    <row r="782" spans="1:4" ht="12.5">
      <c r="A782" s="14"/>
      <c r="B782" s="14"/>
      <c r="C782" s="14"/>
      <c r="D782" s="14"/>
    </row>
    <row r="783" spans="1:4" ht="12.5">
      <c r="A783" s="14"/>
      <c r="B783" s="14"/>
      <c r="C783" s="14"/>
      <c r="D783" s="14"/>
    </row>
    <row r="784" spans="1:4" ht="12.5">
      <c r="A784" s="14"/>
      <c r="B784" s="14"/>
      <c r="C784" s="14"/>
      <c r="D784" s="14"/>
    </row>
    <row r="785" spans="1:4" ht="12.5">
      <c r="A785" s="14"/>
      <c r="B785" s="14"/>
      <c r="C785" s="14"/>
      <c r="D785" s="14"/>
    </row>
    <row r="786" spans="1:4" ht="12.5">
      <c r="A786" s="14"/>
      <c r="B786" s="14"/>
      <c r="C786" s="14"/>
      <c r="D786" s="14"/>
    </row>
    <row r="787" spans="1:4" ht="12.5">
      <c r="A787" s="14"/>
      <c r="B787" s="14"/>
      <c r="C787" s="14"/>
      <c r="D787" s="14"/>
    </row>
    <row r="788" spans="1:4" ht="12.5">
      <c r="A788" s="14"/>
      <c r="B788" s="14"/>
      <c r="C788" s="14"/>
      <c r="D788" s="14"/>
    </row>
    <row r="789" spans="1:4" ht="12.5">
      <c r="A789" s="14"/>
      <c r="B789" s="14"/>
      <c r="C789" s="14"/>
      <c r="D789" s="14"/>
    </row>
    <row r="790" spans="1:4" ht="12.5">
      <c r="A790" s="14"/>
      <c r="B790" s="14"/>
      <c r="C790" s="14"/>
      <c r="D790" s="14"/>
    </row>
    <row r="791" spans="1:4" ht="12.5">
      <c r="A791" s="14"/>
      <c r="B791" s="14"/>
      <c r="C791" s="14"/>
      <c r="D791" s="14"/>
    </row>
    <row r="792" spans="1:4" ht="12.5">
      <c r="A792" s="14"/>
      <c r="B792" s="14"/>
      <c r="C792" s="14"/>
      <c r="D792" s="14"/>
    </row>
    <row r="793" spans="1:4" ht="12.5">
      <c r="A793" s="14"/>
      <c r="B793" s="14"/>
      <c r="C793" s="14"/>
      <c r="D793" s="14"/>
    </row>
    <row r="794" spans="1:4" ht="12.5">
      <c r="A794" s="14"/>
      <c r="B794" s="14"/>
      <c r="C794" s="14"/>
      <c r="D794" s="14"/>
    </row>
    <row r="795" spans="1:4" ht="12.5">
      <c r="A795" s="14"/>
      <c r="B795" s="14"/>
      <c r="C795" s="14"/>
      <c r="D795" s="14"/>
    </row>
    <row r="796" spans="1:4" ht="12.5">
      <c r="A796" s="14"/>
      <c r="B796" s="14"/>
      <c r="C796" s="14"/>
      <c r="D796" s="14"/>
    </row>
    <row r="797" spans="1:4" ht="12.5">
      <c r="A797" s="14"/>
      <c r="B797" s="14"/>
      <c r="C797" s="14"/>
      <c r="D797" s="14"/>
    </row>
    <row r="798" spans="1:4" ht="12.5">
      <c r="A798" s="14"/>
      <c r="B798" s="14"/>
      <c r="C798" s="14"/>
      <c r="D798" s="14"/>
    </row>
    <row r="799" spans="1:4" ht="12.5">
      <c r="A799" s="14"/>
      <c r="B799" s="14"/>
      <c r="C799" s="14"/>
      <c r="D799" s="14"/>
    </row>
    <row r="800" spans="1:4" ht="12.5">
      <c r="A800" s="14"/>
      <c r="B800" s="14"/>
      <c r="C800" s="14"/>
      <c r="D800" s="14"/>
    </row>
    <row r="801" spans="1:4" ht="12.5">
      <c r="A801" s="14"/>
      <c r="B801" s="14"/>
      <c r="C801" s="14"/>
      <c r="D801" s="14"/>
    </row>
    <row r="802" spans="1:4" ht="12.5">
      <c r="A802" s="14"/>
      <c r="B802" s="14"/>
      <c r="C802" s="14"/>
      <c r="D802" s="14"/>
    </row>
    <row r="803" spans="1:4" ht="12.5">
      <c r="A803" s="14"/>
      <c r="B803" s="14"/>
      <c r="C803" s="14"/>
      <c r="D803" s="14"/>
    </row>
    <row r="804" spans="1:4" ht="12.5">
      <c r="A804" s="14"/>
      <c r="B804" s="14"/>
      <c r="C804" s="14"/>
      <c r="D804" s="14"/>
    </row>
    <row r="805" spans="1:4" ht="12.5">
      <c r="A805" s="14"/>
      <c r="B805" s="14"/>
      <c r="C805" s="14"/>
      <c r="D805" s="14"/>
    </row>
    <row r="806" spans="1:4" ht="12.5">
      <c r="A806" s="14"/>
      <c r="B806" s="14"/>
      <c r="C806" s="14"/>
      <c r="D806" s="14"/>
    </row>
    <row r="807" spans="1:4" ht="12.5">
      <c r="A807" s="14"/>
      <c r="B807" s="14"/>
      <c r="C807" s="14"/>
      <c r="D807" s="14"/>
    </row>
    <row r="808" spans="1:4" ht="12.5">
      <c r="A808" s="14"/>
      <c r="B808" s="14"/>
      <c r="C808" s="14"/>
      <c r="D808" s="14"/>
    </row>
    <row r="809" spans="1:4" ht="12.5">
      <c r="A809" s="14"/>
      <c r="B809" s="14"/>
      <c r="C809" s="14"/>
      <c r="D809" s="14"/>
    </row>
    <row r="810" spans="1:4" ht="12.5">
      <c r="A810" s="14"/>
      <c r="B810" s="14"/>
      <c r="C810" s="14"/>
      <c r="D810" s="14"/>
    </row>
    <row r="811" spans="1:4" ht="12.5">
      <c r="A811" s="14"/>
      <c r="B811" s="14"/>
      <c r="C811" s="14"/>
      <c r="D811" s="14"/>
    </row>
    <row r="812" spans="1:4" ht="12.5">
      <c r="A812" s="14"/>
      <c r="B812" s="14"/>
      <c r="C812" s="14"/>
      <c r="D812" s="14"/>
    </row>
    <row r="813" spans="1:4" ht="12.5">
      <c r="A813" s="14"/>
      <c r="B813" s="14"/>
      <c r="C813" s="14"/>
      <c r="D813" s="14"/>
    </row>
    <row r="814" spans="1:4" ht="12.5">
      <c r="A814" s="14"/>
      <c r="B814" s="14"/>
      <c r="C814" s="14"/>
      <c r="D814" s="14"/>
    </row>
    <row r="815" spans="1:4" ht="12.5">
      <c r="A815" s="14"/>
      <c r="B815" s="14"/>
      <c r="C815" s="14"/>
      <c r="D815" s="14"/>
    </row>
    <row r="816" spans="1:4" ht="12.5">
      <c r="A816" s="14"/>
      <c r="B816" s="14"/>
      <c r="C816" s="14"/>
      <c r="D816" s="14"/>
    </row>
    <row r="817" spans="1:4" ht="12.5">
      <c r="A817" s="14"/>
      <c r="B817" s="14"/>
      <c r="C817" s="14"/>
      <c r="D817" s="14"/>
    </row>
    <row r="818" spans="1:4" ht="12.5">
      <c r="A818" s="14"/>
      <c r="B818" s="14"/>
      <c r="C818" s="14"/>
      <c r="D818" s="14"/>
    </row>
    <row r="819" spans="1:4" ht="12.5">
      <c r="A819" s="14"/>
      <c r="B819" s="14"/>
      <c r="C819" s="14"/>
      <c r="D819" s="14"/>
    </row>
    <row r="820" spans="1:4" ht="12.5">
      <c r="A820" s="14"/>
      <c r="B820" s="14"/>
      <c r="C820" s="14"/>
      <c r="D820" s="14"/>
    </row>
    <row r="821" spans="1:4" ht="12.5">
      <c r="A821" s="14"/>
      <c r="B821" s="14"/>
      <c r="C821" s="14"/>
      <c r="D821" s="14"/>
    </row>
    <row r="822" spans="1:4" ht="12.5">
      <c r="A822" s="14"/>
      <c r="B822" s="14"/>
      <c r="C822" s="14"/>
      <c r="D822" s="14"/>
    </row>
    <row r="823" spans="1:4" ht="12.5">
      <c r="A823" s="14"/>
      <c r="B823" s="14"/>
      <c r="C823" s="14"/>
      <c r="D823" s="14"/>
    </row>
    <row r="824" spans="1:4" ht="12.5">
      <c r="A824" s="14"/>
      <c r="B824" s="14"/>
      <c r="C824" s="14"/>
      <c r="D824" s="14"/>
    </row>
    <row r="825" spans="1:4" ht="12.5">
      <c r="A825" s="14"/>
      <c r="B825" s="14"/>
      <c r="C825" s="14"/>
      <c r="D825" s="14"/>
    </row>
    <row r="826" spans="1:4" ht="12.5">
      <c r="A826" s="14"/>
      <c r="B826" s="14"/>
      <c r="C826" s="14"/>
      <c r="D826" s="14"/>
    </row>
    <row r="827" spans="1:4" ht="12.5">
      <c r="A827" s="14"/>
      <c r="B827" s="14"/>
      <c r="C827" s="14"/>
      <c r="D827" s="14"/>
    </row>
    <row r="828" spans="1:4" ht="12.5">
      <c r="A828" s="14"/>
      <c r="B828" s="14"/>
      <c r="C828" s="14"/>
      <c r="D828" s="14"/>
    </row>
    <row r="829" spans="1:4" ht="12.5">
      <c r="A829" s="14"/>
      <c r="B829" s="14"/>
      <c r="C829" s="14"/>
      <c r="D829" s="14"/>
    </row>
    <row r="830" spans="1:4" ht="12.5">
      <c r="A830" s="14"/>
      <c r="B830" s="14"/>
      <c r="C830" s="14"/>
      <c r="D830" s="14"/>
    </row>
    <row r="831" spans="1:4" ht="12.5">
      <c r="A831" s="14"/>
      <c r="B831" s="14"/>
      <c r="C831" s="14"/>
      <c r="D831" s="14"/>
    </row>
    <row r="832" spans="1:4" ht="12.5">
      <c r="A832" s="14"/>
      <c r="B832" s="14"/>
      <c r="C832" s="14"/>
      <c r="D832" s="14"/>
    </row>
    <row r="833" spans="1:4" ht="12.5">
      <c r="A833" s="14"/>
      <c r="B833" s="14"/>
      <c r="C833" s="14"/>
      <c r="D833" s="14"/>
    </row>
    <row r="834" spans="1:4" ht="12.5">
      <c r="A834" s="14"/>
      <c r="B834" s="14"/>
      <c r="C834" s="14"/>
      <c r="D834" s="14"/>
    </row>
    <row r="835" spans="1:4" ht="12.5">
      <c r="A835" s="14"/>
      <c r="B835" s="14"/>
      <c r="C835" s="14"/>
      <c r="D835" s="14"/>
    </row>
    <row r="836" spans="1:4" ht="12.5">
      <c r="A836" s="14"/>
      <c r="B836" s="14"/>
      <c r="C836" s="14"/>
      <c r="D836" s="14"/>
    </row>
    <row r="837" spans="1:4" ht="12.5">
      <c r="A837" s="14"/>
      <c r="B837" s="14"/>
      <c r="C837" s="14"/>
      <c r="D837" s="14"/>
    </row>
    <row r="838" spans="1:4" ht="12.5">
      <c r="A838" s="14"/>
      <c r="B838" s="14"/>
      <c r="C838" s="14"/>
      <c r="D838" s="14"/>
    </row>
  </sheetData>
  <autoFilter ref="A1:D1" xr:uid="{00000000-0001-0000-0000-000000000000}"/>
  <hyperlinks>
    <hyperlink ref="C73" r:id="rId1" xr:uid="{00000000-0004-0000-0000-000000000000}"/>
    <hyperlink ref="C7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8"/>
  <sheetViews>
    <sheetView workbookViewId="0">
      <selection activeCell="H1" sqref="H1"/>
    </sheetView>
  </sheetViews>
  <sheetFormatPr defaultColWidth="12.6328125" defaultRowHeight="15.75" customHeight="1"/>
  <cols>
    <col min="3" max="3" width="20.6328125" customWidth="1"/>
    <col min="4" max="4" width="18.453125" customWidth="1"/>
    <col min="5" max="5" width="34.54296875" style="27" customWidth="1"/>
    <col min="7" max="7" width="30.90625" customWidth="1"/>
    <col min="8" max="8" width="18.81640625" customWidth="1"/>
  </cols>
  <sheetData>
    <row r="1" spans="1:20" ht="15.75" customHeight="1">
      <c r="A1" s="15" t="s">
        <v>324</v>
      </c>
      <c r="B1" s="15" t="s">
        <v>325</v>
      </c>
      <c r="C1" s="15" t="s">
        <v>4391</v>
      </c>
      <c r="D1" s="15" t="s">
        <v>326</v>
      </c>
      <c r="E1" s="15" t="s">
        <v>4388</v>
      </c>
      <c r="F1" s="15" t="s">
        <v>327</v>
      </c>
      <c r="G1" s="15" t="s">
        <v>4389</v>
      </c>
      <c r="H1" s="15" t="s">
        <v>4390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5.75" customHeight="1">
      <c r="A2" s="16" t="s">
        <v>328</v>
      </c>
      <c r="B2" s="16" t="s">
        <v>329</v>
      </c>
      <c r="C2" s="16" t="str">
        <f t="shared" ref="C2:C65" si="0">_xlfn.CONCAT(A2," ",B2)</f>
        <v>Mirabel Neo</v>
      </c>
      <c r="D2" s="16" t="s">
        <v>330</v>
      </c>
      <c r="E2" s="16" t="s">
        <v>331</v>
      </c>
      <c r="F2" s="16" t="s">
        <v>4</v>
      </c>
      <c r="G2" s="16" t="s">
        <v>332</v>
      </c>
      <c r="H2" s="16">
        <v>96774853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.75" customHeight="1">
      <c r="A3" s="16" t="s">
        <v>333</v>
      </c>
      <c r="B3" s="16" t="s">
        <v>334</v>
      </c>
      <c r="C3" s="16" t="str">
        <f t="shared" si="0"/>
        <v>Clarence Liew</v>
      </c>
      <c r="D3" s="16" t="s">
        <v>330</v>
      </c>
      <c r="E3" s="16" t="s">
        <v>335</v>
      </c>
      <c r="F3" s="16" t="s">
        <v>4</v>
      </c>
      <c r="G3" s="16" t="s">
        <v>336</v>
      </c>
      <c r="H3" s="16">
        <v>84284188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.75" customHeight="1">
      <c r="A4" s="16" t="s">
        <v>337</v>
      </c>
      <c r="B4" s="16" t="s">
        <v>4394</v>
      </c>
      <c r="C4" s="16" t="str">
        <f t="shared" si="0"/>
        <v xml:space="preserve">Mr. Kayden </v>
      </c>
      <c r="D4" s="16" t="s">
        <v>330</v>
      </c>
      <c r="E4" s="16" t="s">
        <v>338</v>
      </c>
      <c r="F4" s="16" t="s">
        <v>4</v>
      </c>
      <c r="G4" s="16"/>
      <c r="H4" s="16" t="s">
        <v>339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5.75" customHeight="1">
      <c r="A5" s="16" t="s">
        <v>340</v>
      </c>
      <c r="B5" s="16" t="s">
        <v>341</v>
      </c>
      <c r="C5" s="16" t="str">
        <f t="shared" si="0"/>
        <v>Cher Siong See</v>
      </c>
      <c r="D5" s="16" t="s">
        <v>330</v>
      </c>
      <c r="E5" s="16" t="s">
        <v>342</v>
      </c>
      <c r="F5" s="16" t="s">
        <v>4</v>
      </c>
      <c r="G5" s="16" t="s">
        <v>343</v>
      </c>
      <c r="H5" s="16">
        <v>87277179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 customHeight="1">
      <c r="A6" s="16" t="s">
        <v>344</v>
      </c>
      <c r="B6" s="16" t="s">
        <v>345</v>
      </c>
      <c r="C6" s="16" t="str">
        <f t="shared" si="0"/>
        <v>Honeyly Sanchez</v>
      </c>
      <c r="D6" s="16" t="s">
        <v>330</v>
      </c>
      <c r="E6" s="16" t="s">
        <v>346</v>
      </c>
      <c r="F6" s="16" t="s">
        <v>4</v>
      </c>
      <c r="G6" s="16" t="s">
        <v>347</v>
      </c>
      <c r="H6" s="16">
        <v>6581525936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15.75" customHeight="1">
      <c r="A7" s="16" t="s">
        <v>348</v>
      </c>
      <c r="B7" s="16" t="s">
        <v>349</v>
      </c>
      <c r="C7" s="16" t="str">
        <f t="shared" si="0"/>
        <v>Anthony Chang</v>
      </c>
      <c r="D7" s="16" t="s">
        <v>330</v>
      </c>
      <c r="E7" s="16" t="s">
        <v>350</v>
      </c>
      <c r="F7" s="16" t="s">
        <v>4</v>
      </c>
      <c r="G7" s="16" t="s">
        <v>351</v>
      </c>
      <c r="H7" s="16">
        <v>98271173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75" customHeight="1">
      <c r="A8" s="16" t="s">
        <v>352</v>
      </c>
      <c r="B8" s="16" t="s">
        <v>4394</v>
      </c>
      <c r="C8" s="16" t="str">
        <f t="shared" si="0"/>
        <v xml:space="preserve">LIM </v>
      </c>
      <c r="D8" s="16" t="s">
        <v>330</v>
      </c>
      <c r="E8" s="16" t="s">
        <v>353</v>
      </c>
      <c r="F8" s="16" t="s">
        <v>4</v>
      </c>
      <c r="G8" s="16" t="s">
        <v>354</v>
      </c>
      <c r="H8" s="16">
        <v>87661830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75" customHeight="1">
      <c r="A9" s="16" t="s">
        <v>355</v>
      </c>
      <c r="B9" s="16" t="s">
        <v>356</v>
      </c>
      <c r="C9" s="16" t="str">
        <f t="shared" si="0"/>
        <v>Jason Kong</v>
      </c>
      <c r="D9" s="16" t="s">
        <v>330</v>
      </c>
      <c r="E9" s="16" t="s">
        <v>357</v>
      </c>
      <c r="F9" s="16" t="s">
        <v>4</v>
      </c>
      <c r="G9" s="16" t="s">
        <v>358</v>
      </c>
      <c r="H9" s="16">
        <v>82389246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ht="15.75" customHeight="1">
      <c r="A10" s="16" t="s">
        <v>352</v>
      </c>
      <c r="B10" s="16" t="s">
        <v>4394</v>
      </c>
      <c r="C10" s="16" t="str">
        <f t="shared" si="0"/>
        <v xml:space="preserve">LIM </v>
      </c>
      <c r="D10" s="16" t="s">
        <v>330</v>
      </c>
      <c r="E10" s="16" t="s">
        <v>359</v>
      </c>
      <c r="F10" s="16" t="s">
        <v>4</v>
      </c>
      <c r="G10" s="16"/>
      <c r="H10" s="16" t="s">
        <v>360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5.75" customHeight="1">
      <c r="A11" s="16" t="s">
        <v>361</v>
      </c>
      <c r="B11" s="16" t="s">
        <v>4394</v>
      </c>
      <c r="C11" s="16" t="str">
        <f t="shared" si="0"/>
        <v xml:space="preserve">Goh Jian Lee </v>
      </c>
      <c r="D11" s="16" t="s">
        <v>330</v>
      </c>
      <c r="E11" s="16" t="s">
        <v>362</v>
      </c>
      <c r="F11" s="16" t="s">
        <v>4</v>
      </c>
      <c r="G11" s="16" t="s">
        <v>363</v>
      </c>
      <c r="H11" s="16">
        <v>63370612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5.75" customHeight="1">
      <c r="A12" s="16" t="s">
        <v>364</v>
      </c>
      <c r="B12" s="16" t="s">
        <v>4394</v>
      </c>
      <c r="C12" s="16" t="str">
        <f t="shared" si="0"/>
        <v xml:space="preserve">Darren </v>
      </c>
      <c r="D12" s="16" t="s">
        <v>330</v>
      </c>
      <c r="E12" s="16" t="s">
        <v>365</v>
      </c>
      <c r="F12" s="16" t="s">
        <v>4</v>
      </c>
      <c r="G12" s="16" t="s">
        <v>366</v>
      </c>
      <c r="H12" s="16">
        <v>87829293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5.75" customHeight="1">
      <c r="A13" s="16" t="s">
        <v>367</v>
      </c>
      <c r="B13" s="16" t="s">
        <v>368</v>
      </c>
      <c r="C13" s="16" t="str">
        <f t="shared" si="0"/>
        <v>CHRISTIAN PISIGAN</v>
      </c>
      <c r="D13" s="16" t="s">
        <v>330</v>
      </c>
      <c r="E13" s="16" t="s">
        <v>369</v>
      </c>
      <c r="F13" s="16" t="s">
        <v>4</v>
      </c>
      <c r="G13" s="16" t="s">
        <v>370</v>
      </c>
      <c r="H13" s="16">
        <v>98225041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15.75" customHeight="1">
      <c r="A14" s="16" t="s">
        <v>371</v>
      </c>
      <c r="B14" s="16" t="s">
        <v>372</v>
      </c>
      <c r="C14" s="16" t="str">
        <f t="shared" si="0"/>
        <v>Jyn Tan</v>
      </c>
      <c r="D14" s="16" t="s">
        <v>330</v>
      </c>
      <c r="E14" s="16" t="s">
        <v>373</v>
      </c>
      <c r="F14" s="16" t="s">
        <v>4</v>
      </c>
      <c r="G14" s="16" t="s">
        <v>374</v>
      </c>
      <c r="H14" s="16">
        <v>85300349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.75" customHeight="1">
      <c r="A15" s="16" t="s">
        <v>375</v>
      </c>
      <c r="B15" s="16" t="s">
        <v>4394</v>
      </c>
      <c r="C15" s="16" t="str">
        <f t="shared" si="0"/>
        <v xml:space="preserve">Pei Shi Tan </v>
      </c>
      <c r="D15" s="16" t="s">
        <v>330</v>
      </c>
      <c r="E15" s="16" t="s">
        <v>376</v>
      </c>
      <c r="F15" s="16" t="s">
        <v>4</v>
      </c>
      <c r="G15" s="16" t="s">
        <v>377</v>
      </c>
      <c r="H15" s="16">
        <v>87274560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.75" customHeight="1">
      <c r="A16" s="16" t="s">
        <v>378</v>
      </c>
      <c r="B16" s="16" t="s">
        <v>379</v>
      </c>
      <c r="C16" s="16" t="str">
        <f t="shared" si="0"/>
        <v>Kenny Pong</v>
      </c>
      <c r="D16" s="16" t="s">
        <v>330</v>
      </c>
      <c r="E16" s="16" t="s">
        <v>380</v>
      </c>
      <c r="F16" s="16" t="s">
        <v>4</v>
      </c>
      <c r="G16" s="16" t="s">
        <v>381</v>
      </c>
      <c r="H16" s="16">
        <v>6596546389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5.75" customHeight="1">
      <c r="A17" s="16" t="s">
        <v>355</v>
      </c>
      <c r="B17" s="16" t="s">
        <v>382</v>
      </c>
      <c r="C17" s="16" t="str">
        <f t="shared" si="0"/>
        <v>Jason Ham</v>
      </c>
      <c r="D17" s="16" t="s">
        <v>330</v>
      </c>
      <c r="E17" s="16" t="s">
        <v>383</v>
      </c>
      <c r="F17" s="16" t="s">
        <v>4</v>
      </c>
      <c r="G17" s="16" t="s">
        <v>384</v>
      </c>
      <c r="H17" s="16">
        <v>83828653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5.75" customHeight="1">
      <c r="A18" s="16" t="s">
        <v>385</v>
      </c>
      <c r="B18" s="16" t="s">
        <v>386</v>
      </c>
      <c r="C18" s="16" t="str">
        <f t="shared" si="0"/>
        <v>Kamaluddin Noor Mohamad</v>
      </c>
      <c r="D18" s="16" t="s">
        <v>330</v>
      </c>
      <c r="E18" s="16" t="s">
        <v>387</v>
      </c>
      <c r="F18" s="16" t="s">
        <v>4</v>
      </c>
      <c r="G18" s="16" t="s">
        <v>388</v>
      </c>
      <c r="H18" s="16">
        <v>97599660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5.75" customHeight="1">
      <c r="A19" s="16" t="s">
        <v>389</v>
      </c>
      <c r="B19" s="16" t="s">
        <v>390</v>
      </c>
      <c r="C19" s="16" t="str">
        <f t="shared" si="0"/>
        <v>Jeremy Choong</v>
      </c>
      <c r="D19" s="16" t="s">
        <v>330</v>
      </c>
      <c r="E19" s="16" t="s">
        <v>391</v>
      </c>
      <c r="F19" s="16" t="s">
        <v>4</v>
      </c>
      <c r="G19" s="16" t="s">
        <v>392</v>
      </c>
      <c r="H19" s="16">
        <v>81558656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5.75" customHeight="1">
      <c r="A20" s="16" t="s">
        <v>393</v>
      </c>
      <c r="B20" s="16" t="s">
        <v>394</v>
      </c>
      <c r="C20" s="16" t="str">
        <f t="shared" si="0"/>
        <v>Wendy Teo</v>
      </c>
      <c r="D20" s="16" t="s">
        <v>330</v>
      </c>
      <c r="E20" s="16" t="s">
        <v>395</v>
      </c>
      <c r="F20" s="16" t="s">
        <v>4</v>
      </c>
      <c r="G20" s="16" t="s">
        <v>396</v>
      </c>
      <c r="H20" s="16">
        <v>92346612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15.75" customHeight="1">
      <c r="A21" s="16" t="s">
        <v>352</v>
      </c>
      <c r="B21" s="16" t="s">
        <v>4394</v>
      </c>
      <c r="C21" s="16" t="str">
        <f t="shared" si="0"/>
        <v xml:space="preserve">LIM </v>
      </c>
      <c r="D21" s="16" t="s">
        <v>330</v>
      </c>
      <c r="E21" s="16" t="s">
        <v>397</v>
      </c>
      <c r="F21" s="16" t="s">
        <v>4</v>
      </c>
      <c r="G21" s="16"/>
      <c r="H21" s="16" t="s">
        <v>398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5.75" customHeight="1">
      <c r="A22" s="16" t="s">
        <v>352</v>
      </c>
      <c r="B22" s="16" t="s">
        <v>4394</v>
      </c>
      <c r="C22" s="16" t="str">
        <f t="shared" si="0"/>
        <v xml:space="preserve">LIM </v>
      </c>
      <c r="D22" s="16" t="s">
        <v>330</v>
      </c>
      <c r="E22" s="16" t="s">
        <v>399</v>
      </c>
      <c r="F22" s="16" t="s">
        <v>4</v>
      </c>
      <c r="G22" s="16"/>
      <c r="H22" s="16" t="s">
        <v>400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5.75" customHeight="1">
      <c r="A23" s="16" t="s">
        <v>401</v>
      </c>
      <c r="B23" s="16" t="s">
        <v>402</v>
      </c>
      <c r="C23" s="16" t="str">
        <f t="shared" si="0"/>
        <v>Ambrose Mak</v>
      </c>
      <c r="D23" s="16" t="s">
        <v>330</v>
      </c>
      <c r="E23" s="16" t="s">
        <v>403</v>
      </c>
      <c r="F23" s="16" t="s">
        <v>4</v>
      </c>
      <c r="G23" s="16" t="s">
        <v>404</v>
      </c>
      <c r="H23" s="16">
        <v>98934154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25">
      <c r="A24" s="16" t="s">
        <v>405</v>
      </c>
      <c r="B24" s="16" t="s">
        <v>406</v>
      </c>
      <c r="C24" s="16" t="str">
        <f t="shared" si="0"/>
        <v>Jenny Law</v>
      </c>
      <c r="D24" s="16" t="s">
        <v>330</v>
      </c>
      <c r="E24" s="16" t="s">
        <v>407</v>
      </c>
      <c r="F24" s="16" t="s">
        <v>4</v>
      </c>
      <c r="G24" s="16" t="s">
        <v>198</v>
      </c>
      <c r="H24" s="16">
        <v>84816938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25">
      <c r="A25" s="16" t="s">
        <v>408</v>
      </c>
      <c r="B25" s="16" t="s">
        <v>4394</v>
      </c>
      <c r="C25" s="16" t="str">
        <f t="shared" si="0"/>
        <v xml:space="preserve">Shereen </v>
      </c>
      <c r="D25" s="16" t="s">
        <v>330</v>
      </c>
      <c r="E25" s="16" t="s">
        <v>409</v>
      </c>
      <c r="F25" s="16" t="s">
        <v>4</v>
      </c>
      <c r="G25" s="16" t="s">
        <v>410</v>
      </c>
      <c r="H25" s="16" t="s">
        <v>411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25">
      <c r="A26" s="16" t="s">
        <v>378</v>
      </c>
      <c r="B26" s="16" t="s">
        <v>4394</v>
      </c>
      <c r="C26" s="16" t="str">
        <f t="shared" si="0"/>
        <v xml:space="preserve">Kenny </v>
      </c>
      <c r="D26" s="16" t="s">
        <v>330</v>
      </c>
      <c r="E26" s="16" t="s">
        <v>412</v>
      </c>
      <c r="F26" s="16" t="s">
        <v>4</v>
      </c>
      <c r="G26" s="16" t="s">
        <v>413</v>
      </c>
      <c r="H26" s="16">
        <v>90013527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25">
      <c r="A27" s="16" t="s">
        <v>414</v>
      </c>
      <c r="B27" s="16" t="s">
        <v>4394</v>
      </c>
      <c r="C27" s="16" t="str">
        <f t="shared" si="0"/>
        <v xml:space="preserve">Grace Lee </v>
      </c>
      <c r="D27" s="16" t="s">
        <v>330</v>
      </c>
      <c r="E27" s="16" t="s">
        <v>415</v>
      </c>
      <c r="F27" s="16" t="s">
        <v>4</v>
      </c>
      <c r="G27" s="16" t="s">
        <v>416</v>
      </c>
      <c r="H27" s="16">
        <v>87875023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25">
      <c r="A28" s="16" t="s">
        <v>417</v>
      </c>
      <c r="B28" s="16" t="s">
        <v>418</v>
      </c>
      <c r="C28" s="16" t="str">
        <f t="shared" si="0"/>
        <v>Bernice Fong</v>
      </c>
      <c r="D28" s="16" t="s">
        <v>330</v>
      </c>
      <c r="E28" s="16" t="s">
        <v>419</v>
      </c>
      <c r="F28" s="16" t="s">
        <v>4</v>
      </c>
      <c r="G28" s="16" t="s">
        <v>420</v>
      </c>
      <c r="H28" s="16">
        <v>92205720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25">
      <c r="A29" s="16" t="s">
        <v>352</v>
      </c>
      <c r="B29" s="16" t="s">
        <v>4394</v>
      </c>
      <c r="C29" s="16" t="str">
        <f t="shared" si="0"/>
        <v xml:space="preserve">LIM </v>
      </c>
      <c r="D29" s="16" t="s">
        <v>330</v>
      </c>
      <c r="E29" s="16" t="s">
        <v>421</v>
      </c>
      <c r="F29" s="16" t="s">
        <v>4</v>
      </c>
      <c r="G29" s="16" t="s">
        <v>422</v>
      </c>
      <c r="H29" s="16">
        <v>91551694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25">
      <c r="A30" s="16" t="s">
        <v>423</v>
      </c>
      <c r="B30" s="16" t="s">
        <v>424</v>
      </c>
      <c r="C30" s="16" t="str">
        <f t="shared" si="0"/>
        <v>Afrah Rahman</v>
      </c>
      <c r="D30" s="16" t="s">
        <v>330</v>
      </c>
      <c r="E30" s="16" t="s">
        <v>425</v>
      </c>
      <c r="F30" s="16" t="s">
        <v>4</v>
      </c>
      <c r="G30" s="16" t="s">
        <v>426</v>
      </c>
      <c r="H30" s="16">
        <v>82477408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25">
      <c r="A31" s="16" t="s">
        <v>427</v>
      </c>
      <c r="B31" s="16" t="s">
        <v>428</v>
      </c>
      <c r="C31" s="16" t="str">
        <f t="shared" si="0"/>
        <v>Crystalz Ong</v>
      </c>
      <c r="D31" s="16" t="s">
        <v>330</v>
      </c>
      <c r="E31" s="16" t="s">
        <v>429</v>
      </c>
      <c r="F31" s="16" t="s">
        <v>4</v>
      </c>
      <c r="G31" s="16" t="s">
        <v>430</v>
      </c>
      <c r="H31" s="16">
        <v>90101085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25">
      <c r="A32" s="16" t="s">
        <v>431</v>
      </c>
      <c r="B32" s="16" t="s">
        <v>432</v>
      </c>
      <c r="C32" s="16" t="str">
        <f t="shared" si="0"/>
        <v>Jiayi Chen</v>
      </c>
      <c r="D32" s="16" t="s">
        <v>330</v>
      </c>
      <c r="E32" s="16" t="s">
        <v>433</v>
      </c>
      <c r="F32" s="16" t="s">
        <v>4</v>
      </c>
      <c r="G32" s="16" t="s">
        <v>434</v>
      </c>
      <c r="H32" s="16">
        <v>97953863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25">
      <c r="A33" s="16" t="s">
        <v>352</v>
      </c>
      <c r="B33" s="16" t="s">
        <v>4394</v>
      </c>
      <c r="C33" s="16" t="str">
        <f t="shared" si="0"/>
        <v xml:space="preserve">LIM </v>
      </c>
      <c r="D33" s="16" t="s">
        <v>330</v>
      </c>
      <c r="E33" s="16" t="s">
        <v>435</v>
      </c>
      <c r="F33" s="16" t="s">
        <v>4</v>
      </c>
      <c r="G33" s="16"/>
      <c r="H33" s="16" t="s">
        <v>436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25">
      <c r="A34" s="16" t="s">
        <v>437</v>
      </c>
      <c r="B34" s="16" t="s">
        <v>438</v>
      </c>
      <c r="C34" s="16" t="str">
        <f t="shared" si="0"/>
        <v>Brian Duong</v>
      </c>
      <c r="D34" s="16" t="s">
        <v>330</v>
      </c>
      <c r="E34" s="16" t="s">
        <v>439</v>
      </c>
      <c r="F34" s="16" t="s">
        <v>4</v>
      </c>
      <c r="G34" s="16" t="s">
        <v>440</v>
      </c>
      <c r="H34" s="16">
        <v>966191994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25">
      <c r="A35" s="16" t="s">
        <v>441</v>
      </c>
      <c r="B35" s="16" t="s">
        <v>442</v>
      </c>
      <c r="C35" s="16" t="str">
        <f t="shared" si="0"/>
        <v>Junchen Hong</v>
      </c>
      <c r="D35" s="16" t="s">
        <v>330</v>
      </c>
      <c r="E35" s="16" t="s">
        <v>443</v>
      </c>
      <c r="F35" s="16" t="s">
        <v>4</v>
      </c>
      <c r="G35" s="16" t="s">
        <v>444</v>
      </c>
      <c r="H35" s="16">
        <v>96460384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25">
      <c r="A36" s="16" t="s">
        <v>445</v>
      </c>
      <c r="B36" s="16" t="s">
        <v>446</v>
      </c>
      <c r="C36" s="16" t="str">
        <f t="shared" si="0"/>
        <v>Velarasan Morrthy</v>
      </c>
      <c r="D36" s="16" t="s">
        <v>330</v>
      </c>
      <c r="E36" s="16" t="s">
        <v>447</v>
      </c>
      <c r="F36" s="16" t="s">
        <v>4</v>
      </c>
      <c r="G36" s="16" t="s">
        <v>448</v>
      </c>
      <c r="H36" s="16">
        <v>165920509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25">
      <c r="A37" s="16" t="s">
        <v>449</v>
      </c>
      <c r="B37" s="16" t="s">
        <v>450</v>
      </c>
      <c r="C37" s="16" t="str">
        <f t="shared" si="0"/>
        <v>JESH C</v>
      </c>
      <c r="D37" s="16" t="s">
        <v>330</v>
      </c>
      <c r="E37" s="16" t="s">
        <v>451</v>
      </c>
      <c r="F37" s="16" t="s">
        <v>4</v>
      </c>
      <c r="G37" s="16" t="s">
        <v>452</v>
      </c>
      <c r="H37" s="16">
        <v>96744622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25">
      <c r="A38" s="16" t="s">
        <v>453</v>
      </c>
      <c r="B38" s="16" t="s">
        <v>454</v>
      </c>
      <c r="C38" s="16" t="str">
        <f t="shared" si="0"/>
        <v xml:space="preserve">Jessie Low
</v>
      </c>
      <c r="D38" s="16" t="s">
        <v>330</v>
      </c>
      <c r="E38" s="16" t="s">
        <v>455</v>
      </c>
      <c r="F38" s="16" t="s">
        <v>4</v>
      </c>
      <c r="G38" s="16" t="s">
        <v>456</v>
      </c>
      <c r="H38" s="16">
        <v>98535467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25">
      <c r="A39" s="16" t="s">
        <v>352</v>
      </c>
      <c r="B39" s="16" t="s">
        <v>4394</v>
      </c>
      <c r="C39" s="16" t="str">
        <f t="shared" si="0"/>
        <v xml:space="preserve">LIM </v>
      </c>
      <c r="D39" s="16" t="s">
        <v>330</v>
      </c>
      <c r="E39" s="16" t="s">
        <v>457</v>
      </c>
      <c r="F39" s="16" t="s">
        <v>4</v>
      </c>
      <c r="G39" s="16"/>
      <c r="H39" s="16" t="s">
        <v>458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25">
      <c r="A40" s="16" t="s">
        <v>459</v>
      </c>
      <c r="B40" s="16" t="s">
        <v>4394</v>
      </c>
      <c r="C40" s="16" t="str">
        <f t="shared" si="0"/>
        <v xml:space="preserve">Nicah </v>
      </c>
      <c r="D40" s="16" t="s">
        <v>330</v>
      </c>
      <c r="E40" s="16" t="s">
        <v>460</v>
      </c>
      <c r="F40" s="16" t="s">
        <v>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25">
      <c r="A41" s="16" t="s">
        <v>461</v>
      </c>
      <c r="B41" s="16" t="s">
        <v>462</v>
      </c>
      <c r="C41" s="16" t="str">
        <f t="shared" si="0"/>
        <v>Sylvester Pang</v>
      </c>
      <c r="D41" s="16" t="s">
        <v>330</v>
      </c>
      <c r="E41" s="16" t="s">
        <v>463</v>
      </c>
      <c r="F41" s="16" t="s">
        <v>4</v>
      </c>
      <c r="G41" s="16" t="s">
        <v>464</v>
      </c>
      <c r="H41" s="16">
        <v>87411118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25">
      <c r="A42" s="16" t="s">
        <v>465</v>
      </c>
      <c r="B42" s="16" t="s">
        <v>466</v>
      </c>
      <c r="C42" s="16" t="str">
        <f t="shared" si="0"/>
        <v>Wong Siew Keong</v>
      </c>
      <c r="D42" s="16" t="s">
        <v>330</v>
      </c>
      <c r="E42" s="16" t="s">
        <v>467</v>
      </c>
      <c r="F42" s="16" t="s">
        <v>4</v>
      </c>
      <c r="G42" s="16" t="s">
        <v>468</v>
      </c>
      <c r="H42" s="16">
        <v>94772889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25">
      <c r="A43" s="16" t="s">
        <v>469</v>
      </c>
      <c r="B43" s="16" t="s">
        <v>394</v>
      </c>
      <c r="C43" s="16" t="str">
        <f t="shared" si="0"/>
        <v>Richard Teo</v>
      </c>
      <c r="D43" s="16" t="s">
        <v>330</v>
      </c>
      <c r="E43" s="16" t="s">
        <v>470</v>
      </c>
      <c r="F43" s="16" t="s">
        <v>4</v>
      </c>
      <c r="G43" s="16" t="s">
        <v>471</v>
      </c>
      <c r="H43" s="16">
        <v>97972863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ht="25">
      <c r="A44" s="16" t="s">
        <v>472</v>
      </c>
      <c r="B44" s="16" t="s">
        <v>473</v>
      </c>
      <c r="C44" s="16" t="str">
        <f t="shared" si="0"/>
        <v>Mark Chua</v>
      </c>
      <c r="D44" s="16" t="s">
        <v>330</v>
      </c>
      <c r="E44" s="16" t="s">
        <v>474</v>
      </c>
      <c r="F44" s="16" t="s">
        <v>4</v>
      </c>
      <c r="G44" s="16" t="s">
        <v>475</v>
      </c>
      <c r="H44" s="16">
        <v>98521163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ht="25">
      <c r="A45" s="16" t="s">
        <v>352</v>
      </c>
      <c r="B45" s="16" t="s">
        <v>4394</v>
      </c>
      <c r="C45" s="16" t="str">
        <f t="shared" si="0"/>
        <v xml:space="preserve">LIM </v>
      </c>
      <c r="D45" s="16" t="s">
        <v>330</v>
      </c>
      <c r="E45" s="16" t="s">
        <v>476</v>
      </c>
      <c r="F45" s="16" t="s">
        <v>4</v>
      </c>
      <c r="G45" s="16"/>
      <c r="H45" s="16">
        <v>61234567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25">
      <c r="A46" s="16" t="s">
        <v>477</v>
      </c>
      <c r="B46" s="16" t="s">
        <v>478</v>
      </c>
      <c r="C46" s="16" t="str">
        <f t="shared" si="0"/>
        <v>Jia Yu Siow</v>
      </c>
      <c r="D46" s="16" t="s">
        <v>330</v>
      </c>
      <c r="E46" s="16" t="s">
        <v>479</v>
      </c>
      <c r="F46" s="16" t="s">
        <v>4</v>
      </c>
      <c r="G46" s="16" t="s">
        <v>480</v>
      </c>
      <c r="H46" s="16">
        <v>97315077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25">
      <c r="A47" s="16" t="s">
        <v>481</v>
      </c>
      <c r="B47" s="16" t="s">
        <v>482</v>
      </c>
      <c r="C47" s="16" t="str">
        <f t="shared" si="0"/>
        <v>David Loh</v>
      </c>
      <c r="D47" s="16" t="s">
        <v>330</v>
      </c>
      <c r="E47" s="16" t="s">
        <v>483</v>
      </c>
      <c r="F47" s="16" t="s">
        <v>4</v>
      </c>
      <c r="G47" s="16" t="s">
        <v>484</v>
      </c>
      <c r="H47" s="16">
        <v>88779897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ht="25">
      <c r="A48" s="16" t="s">
        <v>352</v>
      </c>
      <c r="B48" s="16" t="s">
        <v>4394</v>
      </c>
      <c r="C48" s="16" t="str">
        <f t="shared" si="0"/>
        <v xml:space="preserve">LIM </v>
      </c>
      <c r="D48" s="16" t="s">
        <v>330</v>
      </c>
      <c r="E48" s="16" t="s">
        <v>485</v>
      </c>
      <c r="F48" s="16" t="s">
        <v>4</v>
      </c>
      <c r="G48" s="16"/>
      <c r="H48" s="16" t="s">
        <v>486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ht="25">
      <c r="A49" s="16" t="s">
        <v>487</v>
      </c>
      <c r="B49" s="16" t="s">
        <v>394</v>
      </c>
      <c r="C49" s="16" t="str">
        <f t="shared" si="0"/>
        <v>Andy Teo</v>
      </c>
      <c r="D49" s="16" t="s">
        <v>330</v>
      </c>
      <c r="E49" s="16" t="s">
        <v>488</v>
      </c>
      <c r="F49" s="16" t="s">
        <v>4</v>
      </c>
      <c r="G49" s="16" t="s">
        <v>489</v>
      </c>
      <c r="H49" s="16">
        <v>90287951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ht="25">
      <c r="A50" s="16" t="s">
        <v>352</v>
      </c>
      <c r="B50" s="16" t="s">
        <v>4394</v>
      </c>
      <c r="C50" s="16" t="str">
        <f t="shared" si="0"/>
        <v xml:space="preserve">LIM </v>
      </c>
      <c r="D50" s="16" t="s">
        <v>330</v>
      </c>
      <c r="E50" s="16" t="s">
        <v>490</v>
      </c>
      <c r="F50" s="16" t="s">
        <v>4</v>
      </c>
      <c r="G50" s="16"/>
      <c r="H50" s="16">
        <v>93864782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ht="25">
      <c r="A51" s="16" t="s">
        <v>352</v>
      </c>
      <c r="B51" s="16" t="s">
        <v>4394</v>
      </c>
      <c r="C51" s="16" t="str">
        <f t="shared" si="0"/>
        <v xml:space="preserve">LIM </v>
      </c>
      <c r="D51" s="16" t="s">
        <v>330</v>
      </c>
      <c r="E51" s="16" t="s">
        <v>491</v>
      </c>
      <c r="F51" s="16" t="s">
        <v>4</v>
      </c>
      <c r="G51" s="16"/>
      <c r="H51" s="16" t="s">
        <v>492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ht="25">
      <c r="A52" s="16" t="s">
        <v>493</v>
      </c>
      <c r="B52" s="16" t="s">
        <v>494</v>
      </c>
      <c r="C52" s="16" t="str">
        <f t="shared" si="0"/>
        <v>Felix Halim</v>
      </c>
      <c r="D52" s="16" t="s">
        <v>330</v>
      </c>
      <c r="E52" s="16" t="s">
        <v>495</v>
      </c>
      <c r="F52" s="16" t="s">
        <v>4</v>
      </c>
      <c r="G52" s="16" t="s">
        <v>496</v>
      </c>
      <c r="H52" s="16">
        <v>83158502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ht="25">
      <c r="A53" s="16" t="s">
        <v>352</v>
      </c>
      <c r="B53" s="16" t="s">
        <v>4394</v>
      </c>
      <c r="C53" s="16" t="str">
        <f t="shared" si="0"/>
        <v xml:space="preserve">LIM </v>
      </c>
      <c r="D53" s="16" t="s">
        <v>330</v>
      </c>
      <c r="E53" s="16" t="s">
        <v>497</v>
      </c>
      <c r="F53" s="16" t="s">
        <v>4</v>
      </c>
      <c r="G53" s="16"/>
      <c r="H53" s="16" t="s">
        <v>498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ht="25">
      <c r="A54" s="16" t="s">
        <v>499</v>
      </c>
      <c r="B54" s="16" t="s">
        <v>500</v>
      </c>
      <c r="C54" s="16" t="str">
        <f t="shared" si="0"/>
        <v>Adrian Houghton</v>
      </c>
      <c r="D54" s="16" t="s">
        <v>330</v>
      </c>
      <c r="E54" s="16" t="s">
        <v>501</v>
      </c>
      <c r="F54" s="16" t="s">
        <v>4</v>
      </c>
      <c r="G54" s="16" t="s">
        <v>502</v>
      </c>
      <c r="H54" s="16">
        <v>98288014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25">
      <c r="A55" s="16" t="s">
        <v>352</v>
      </c>
      <c r="B55" s="16" t="s">
        <v>4394</v>
      </c>
      <c r="C55" s="16" t="str">
        <f t="shared" si="0"/>
        <v xml:space="preserve">LIM </v>
      </c>
      <c r="D55" s="16" t="s">
        <v>330</v>
      </c>
      <c r="E55" s="16" t="s">
        <v>503</v>
      </c>
      <c r="F55" s="16" t="s">
        <v>4</v>
      </c>
      <c r="G55" s="16"/>
      <c r="H55" s="16" t="s">
        <v>504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ht="25">
      <c r="A56" s="16" t="s">
        <v>505</v>
      </c>
      <c r="B56" s="16" t="s">
        <v>4394</v>
      </c>
      <c r="C56" s="16" t="str">
        <f t="shared" si="0"/>
        <v xml:space="preserve">Mr. Zhi Hao </v>
      </c>
      <c r="D56" s="16" t="s">
        <v>330</v>
      </c>
      <c r="E56" s="16" t="s">
        <v>506</v>
      </c>
      <c r="F56" s="16" t="s">
        <v>4</v>
      </c>
      <c r="G56" s="16"/>
      <c r="H56" s="16" t="s">
        <v>507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ht="25">
      <c r="A57" s="16" t="s">
        <v>508</v>
      </c>
      <c r="B57" s="16" t="s">
        <v>509</v>
      </c>
      <c r="C57" s="16" t="str">
        <f t="shared" si="0"/>
        <v>Sam Lium</v>
      </c>
      <c r="D57" s="16" t="s">
        <v>330</v>
      </c>
      <c r="E57" s="16" t="s">
        <v>510</v>
      </c>
      <c r="F57" s="16" t="s">
        <v>4</v>
      </c>
      <c r="G57" s="16" t="s">
        <v>511</v>
      </c>
      <c r="H57" s="16">
        <v>90929116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ht="25">
      <c r="A58" s="16" t="s">
        <v>512</v>
      </c>
      <c r="B58" s="16" t="s">
        <v>4394</v>
      </c>
      <c r="C58" s="16" t="str">
        <f t="shared" si="0"/>
        <v xml:space="preserve">Mr. Simon </v>
      </c>
      <c r="D58" s="16" t="s">
        <v>330</v>
      </c>
      <c r="E58" s="16" t="s">
        <v>513</v>
      </c>
      <c r="F58" s="16" t="s">
        <v>4</v>
      </c>
      <c r="G58" s="16"/>
      <c r="H58" s="16" t="s">
        <v>514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ht="25">
      <c r="A59" s="16" t="s">
        <v>515</v>
      </c>
      <c r="B59" s="16" t="s">
        <v>394</v>
      </c>
      <c r="C59" s="16" t="str">
        <f t="shared" si="0"/>
        <v>Charlie Teo</v>
      </c>
      <c r="D59" s="16" t="s">
        <v>330</v>
      </c>
      <c r="E59" s="16" t="s">
        <v>516</v>
      </c>
      <c r="F59" s="16" t="s">
        <v>4</v>
      </c>
      <c r="G59" s="16" t="s">
        <v>517</v>
      </c>
      <c r="H59" s="16">
        <v>81010059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ht="25">
      <c r="A60" s="16" t="s">
        <v>518</v>
      </c>
      <c r="B60" s="16" t="s">
        <v>519</v>
      </c>
      <c r="C60" s="16" t="str">
        <f t="shared" si="0"/>
        <v>Koji Shiraishi</v>
      </c>
      <c r="D60" s="16" t="s">
        <v>330</v>
      </c>
      <c r="E60" s="16" t="s">
        <v>520</v>
      </c>
      <c r="F60" s="16" t="s">
        <v>4</v>
      </c>
      <c r="G60" s="16" t="s">
        <v>521</v>
      </c>
      <c r="H60" s="16">
        <v>84687311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ht="25">
      <c r="A61" s="16" t="s">
        <v>522</v>
      </c>
      <c r="B61" s="16" t="s">
        <v>523</v>
      </c>
      <c r="C61" s="16" t="str">
        <f t="shared" si="0"/>
        <v>Lawrence Leow</v>
      </c>
      <c r="D61" s="16" t="s">
        <v>330</v>
      </c>
      <c r="E61" s="16" t="s">
        <v>524</v>
      </c>
      <c r="F61" s="16" t="s">
        <v>4</v>
      </c>
      <c r="G61" s="16" t="s">
        <v>525</v>
      </c>
      <c r="H61" s="16">
        <v>90614060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ht="25">
      <c r="A62" s="16" t="s">
        <v>352</v>
      </c>
      <c r="B62" s="16" t="s">
        <v>4394</v>
      </c>
      <c r="C62" s="16" t="str">
        <f t="shared" si="0"/>
        <v xml:space="preserve">LIM </v>
      </c>
      <c r="D62" s="16" t="s">
        <v>330</v>
      </c>
      <c r="E62" s="16" t="s">
        <v>526</v>
      </c>
      <c r="F62" s="16" t="s">
        <v>4</v>
      </c>
      <c r="G62" s="16" t="s">
        <v>527</v>
      </c>
      <c r="H62" s="16" t="s">
        <v>528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ht="25">
      <c r="A63" s="16" t="s">
        <v>529</v>
      </c>
      <c r="B63" s="16" t="s">
        <v>530</v>
      </c>
      <c r="C63" s="16" t="str">
        <f t="shared" si="0"/>
        <v>Robert Ashley</v>
      </c>
      <c r="D63" s="16" t="s">
        <v>330</v>
      </c>
      <c r="E63" s="16" t="s">
        <v>531</v>
      </c>
      <c r="F63" s="16" t="s">
        <v>4</v>
      </c>
      <c r="G63" s="16" t="s">
        <v>532</v>
      </c>
      <c r="H63" s="16">
        <v>85760017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ht="25">
      <c r="A64" s="16" t="s">
        <v>533</v>
      </c>
      <c r="B64" s="16" t="s">
        <v>4394</v>
      </c>
      <c r="C64" s="16" t="str">
        <f t="shared" si="0"/>
        <v xml:space="preserve">Jarenhow </v>
      </c>
      <c r="D64" s="16" t="s">
        <v>330</v>
      </c>
      <c r="E64" s="16" t="s">
        <v>534</v>
      </c>
      <c r="F64" s="16" t="s">
        <v>4</v>
      </c>
      <c r="G64" s="16" t="s">
        <v>535</v>
      </c>
      <c r="H64" s="16" t="s">
        <v>536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ht="25">
      <c r="A65" s="16" t="s">
        <v>352</v>
      </c>
      <c r="B65" s="16" t="s">
        <v>4394</v>
      </c>
      <c r="C65" s="16" t="str">
        <f t="shared" si="0"/>
        <v xml:space="preserve">LIM </v>
      </c>
      <c r="D65" s="16" t="s">
        <v>330</v>
      </c>
      <c r="E65" s="16" t="s">
        <v>537</v>
      </c>
      <c r="F65" s="16" t="s">
        <v>4</v>
      </c>
      <c r="G65" s="16"/>
      <c r="H65" s="16" t="s">
        <v>538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ht="25">
      <c r="A66" s="16" t="s">
        <v>352</v>
      </c>
      <c r="B66" s="16" t="s">
        <v>4394</v>
      </c>
      <c r="C66" s="16" t="str">
        <f t="shared" ref="C66:C129" si="1">_xlfn.CONCAT(A66," ",B66)</f>
        <v xml:space="preserve">LIM </v>
      </c>
      <c r="D66" s="16" t="s">
        <v>330</v>
      </c>
      <c r="E66" s="16" t="s">
        <v>539</v>
      </c>
      <c r="F66" s="16" t="s">
        <v>4</v>
      </c>
      <c r="G66" s="16" t="s">
        <v>540</v>
      </c>
      <c r="H66" s="16">
        <v>65781213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ht="25">
      <c r="A67" s="16" t="s">
        <v>541</v>
      </c>
      <c r="B67" s="16" t="s">
        <v>542</v>
      </c>
      <c r="C67" s="16" t="str">
        <f t="shared" si="1"/>
        <v>Ralph Tan Ming Yuan</v>
      </c>
      <c r="D67" s="16" t="s">
        <v>330</v>
      </c>
      <c r="E67" s="16" t="s">
        <v>543</v>
      </c>
      <c r="F67" s="16" t="s">
        <v>4</v>
      </c>
      <c r="G67" s="16" t="s">
        <v>544</v>
      </c>
      <c r="H67" s="16">
        <v>81824267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ht="25">
      <c r="A68" s="16" t="s">
        <v>352</v>
      </c>
      <c r="B68" s="16" t="s">
        <v>4394</v>
      </c>
      <c r="C68" s="16" t="str">
        <f t="shared" si="1"/>
        <v xml:space="preserve">LIM </v>
      </c>
      <c r="D68" s="16" t="s">
        <v>330</v>
      </c>
      <c r="E68" s="16" t="s">
        <v>545</v>
      </c>
      <c r="F68" s="16" t="s">
        <v>4</v>
      </c>
      <c r="G68" s="16"/>
      <c r="H68" s="16" t="s">
        <v>546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ht="25">
      <c r="A69" s="16" t="s">
        <v>352</v>
      </c>
      <c r="B69" s="16" t="s">
        <v>4394</v>
      </c>
      <c r="C69" s="16" t="str">
        <f t="shared" si="1"/>
        <v xml:space="preserve">LIM </v>
      </c>
      <c r="D69" s="16" t="s">
        <v>330</v>
      </c>
      <c r="E69" s="16" t="s">
        <v>547</v>
      </c>
      <c r="F69" s="16" t="s">
        <v>4</v>
      </c>
      <c r="G69" s="16"/>
      <c r="H69" s="16" t="s">
        <v>548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ht="25">
      <c r="A70" s="16" t="s">
        <v>549</v>
      </c>
      <c r="B70" s="16" t="s">
        <v>550</v>
      </c>
      <c r="C70" s="16" t="str">
        <f t="shared" si="1"/>
        <v>Alexia Chew</v>
      </c>
      <c r="D70" s="16" t="s">
        <v>330</v>
      </c>
      <c r="E70" s="16" t="s">
        <v>551</v>
      </c>
      <c r="F70" s="16" t="s">
        <v>4</v>
      </c>
      <c r="G70" s="16" t="s">
        <v>552</v>
      </c>
      <c r="H70" s="16">
        <v>93900750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ht="25">
      <c r="A71" s="16" t="s">
        <v>553</v>
      </c>
      <c r="B71" s="16" t="s">
        <v>554</v>
      </c>
      <c r="C71" s="16" t="str">
        <f t="shared" si="1"/>
        <v>Junguang Guo</v>
      </c>
      <c r="D71" s="16" t="s">
        <v>330</v>
      </c>
      <c r="E71" s="16" t="s">
        <v>555</v>
      </c>
      <c r="F71" s="16" t="s">
        <v>4</v>
      </c>
      <c r="G71" s="16" t="s">
        <v>556</v>
      </c>
      <c r="H71" s="16">
        <v>91118238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ht="25">
      <c r="A72" s="16" t="s">
        <v>557</v>
      </c>
      <c r="B72" s="16" t="s">
        <v>558</v>
      </c>
      <c r="C72" s="16" t="str">
        <f t="shared" si="1"/>
        <v>Vinod Turairas</v>
      </c>
      <c r="D72" s="16" t="s">
        <v>330</v>
      </c>
      <c r="E72" s="16" t="s">
        <v>559</v>
      </c>
      <c r="F72" s="16" t="s">
        <v>4</v>
      </c>
      <c r="G72" s="16" t="s">
        <v>560</v>
      </c>
      <c r="H72" s="16">
        <v>84889965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25">
      <c r="A73" s="16" t="s">
        <v>352</v>
      </c>
      <c r="B73" s="16" t="s">
        <v>4394</v>
      </c>
      <c r="C73" s="16" t="str">
        <f t="shared" si="1"/>
        <v xml:space="preserve">LIM </v>
      </c>
      <c r="D73" s="16" t="s">
        <v>330</v>
      </c>
      <c r="E73" s="16" t="s">
        <v>561</v>
      </c>
      <c r="F73" s="16" t="s">
        <v>4</v>
      </c>
      <c r="G73" s="16"/>
      <c r="H73" s="16">
        <v>92291310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ht="25">
      <c r="A74" s="16" t="s">
        <v>562</v>
      </c>
      <c r="B74" s="16" t="s">
        <v>563</v>
      </c>
      <c r="C74" s="16" t="str">
        <f t="shared" si="1"/>
        <v>Gero Dimaria</v>
      </c>
      <c r="D74" s="16" t="s">
        <v>330</v>
      </c>
      <c r="E74" s="16" t="s">
        <v>564</v>
      </c>
      <c r="F74" s="16" t="s">
        <v>4</v>
      </c>
      <c r="G74" s="16" t="s">
        <v>565</v>
      </c>
      <c r="H74" s="16">
        <v>91729662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ht="25">
      <c r="A75" s="16" t="s">
        <v>566</v>
      </c>
      <c r="B75" s="16" t="s">
        <v>465</v>
      </c>
      <c r="C75" s="16" t="str">
        <f t="shared" si="1"/>
        <v>Chin Rong Wong</v>
      </c>
      <c r="D75" s="16" t="s">
        <v>330</v>
      </c>
      <c r="E75" s="16" t="s">
        <v>567</v>
      </c>
      <c r="F75" s="16" t="s">
        <v>4</v>
      </c>
      <c r="G75" s="16" t="s">
        <v>568</v>
      </c>
      <c r="H75" s="16">
        <v>60127525045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ht="25">
      <c r="A76" s="16" t="s">
        <v>569</v>
      </c>
      <c r="B76" s="16" t="s">
        <v>4394</v>
      </c>
      <c r="C76" s="16" t="str">
        <f t="shared" si="1"/>
        <v xml:space="preserve">Bryan </v>
      </c>
      <c r="D76" s="16" t="s">
        <v>330</v>
      </c>
      <c r="E76" s="16" t="s">
        <v>570</v>
      </c>
      <c r="F76" s="16" t="s">
        <v>4</v>
      </c>
      <c r="G76" s="16" t="s">
        <v>571</v>
      </c>
      <c r="H76" s="16">
        <v>151245422444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ht="25">
      <c r="A77" s="16" t="s">
        <v>572</v>
      </c>
      <c r="B77" s="16" t="s">
        <v>4394</v>
      </c>
      <c r="C77" s="16" t="str">
        <f t="shared" si="1"/>
        <v xml:space="preserve">Stella </v>
      </c>
      <c r="D77" s="16" t="s">
        <v>330</v>
      </c>
      <c r="E77" s="16" t="s">
        <v>573</v>
      </c>
      <c r="F77" s="16" t="s">
        <v>4</v>
      </c>
      <c r="G77" s="16"/>
      <c r="H77" s="16" t="s">
        <v>574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 ht="25">
      <c r="A78" s="16" t="s">
        <v>575</v>
      </c>
      <c r="B78" s="16" t="s">
        <v>576</v>
      </c>
      <c r="C78" s="16" t="str">
        <f t="shared" si="1"/>
        <v>Ben Yap</v>
      </c>
      <c r="D78" s="16" t="s">
        <v>330</v>
      </c>
      <c r="E78" s="16" t="s">
        <v>577</v>
      </c>
      <c r="F78" s="16" t="s">
        <v>4</v>
      </c>
      <c r="G78" s="16" t="s">
        <v>578</v>
      </c>
      <c r="H78" s="16">
        <v>81984090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ht="25">
      <c r="A79" s="16" t="s">
        <v>579</v>
      </c>
      <c r="B79" s="16" t="s">
        <v>580</v>
      </c>
      <c r="C79" s="16" t="str">
        <f t="shared" si="1"/>
        <v>Jovin Chong</v>
      </c>
      <c r="D79" s="16" t="s">
        <v>330</v>
      </c>
      <c r="E79" s="16" t="s">
        <v>581</v>
      </c>
      <c r="F79" s="16" t="s">
        <v>4</v>
      </c>
      <c r="G79" s="16" t="s">
        <v>582</v>
      </c>
      <c r="H79" s="16">
        <v>91866912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25">
      <c r="A80" s="16" t="s">
        <v>493</v>
      </c>
      <c r="B80" s="16" t="s">
        <v>4394</v>
      </c>
      <c r="C80" s="16" t="str">
        <f t="shared" si="1"/>
        <v xml:space="preserve">Felix </v>
      </c>
      <c r="D80" s="16" t="s">
        <v>330</v>
      </c>
      <c r="E80" s="16" t="s">
        <v>583</v>
      </c>
      <c r="F80" s="16" t="s">
        <v>4</v>
      </c>
      <c r="G80" s="16" t="s">
        <v>584</v>
      </c>
      <c r="H80" s="16">
        <v>90995265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25">
      <c r="A81" s="16" t="s">
        <v>585</v>
      </c>
      <c r="B81" s="16" t="s">
        <v>4394</v>
      </c>
      <c r="C81" s="16" t="str">
        <f t="shared" si="1"/>
        <v xml:space="preserve">Kit, Gabriel </v>
      </c>
      <c r="D81" s="16" t="s">
        <v>330</v>
      </c>
      <c r="E81" s="16" t="s">
        <v>586</v>
      </c>
      <c r="F81" s="16" t="s">
        <v>4</v>
      </c>
      <c r="G81" s="16" t="s">
        <v>587</v>
      </c>
      <c r="H81" s="16" t="s">
        <v>588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25">
      <c r="A82" s="16" t="s">
        <v>341</v>
      </c>
      <c r="B82" s="16" t="s">
        <v>4394</v>
      </c>
      <c r="C82" s="16" t="str">
        <f t="shared" si="1"/>
        <v xml:space="preserve">See </v>
      </c>
      <c r="D82" s="16" t="s">
        <v>330</v>
      </c>
      <c r="E82" s="16" t="s">
        <v>589</v>
      </c>
      <c r="F82" s="16" t="s">
        <v>4</v>
      </c>
      <c r="G82" s="16"/>
      <c r="H82" s="16" t="s">
        <v>590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25">
      <c r="A83" s="16" t="s">
        <v>355</v>
      </c>
      <c r="B83" s="16" t="s">
        <v>4394</v>
      </c>
      <c r="C83" s="16" t="str">
        <f t="shared" si="1"/>
        <v xml:space="preserve">Jason </v>
      </c>
      <c r="D83" s="16" t="s">
        <v>330</v>
      </c>
      <c r="E83" s="16" t="s">
        <v>591</v>
      </c>
      <c r="F83" s="16" t="s">
        <v>4</v>
      </c>
      <c r="G83" s="16" t="s">
        <v>592</v>
      </c>
      <c r="H83" s="16">
        <v>98436873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25">
      <c r="A84" s="16" t="s">
        <v>593</v>
      </c>
      <c r="B84" s="16" t="s">
        <v>4394</v>
      </c>
      <c r="C84" s="16" t="str">
        <f t="shared" si="1"/>
        <v xml:space="preserve">Shahab </v>
      </c>
      <c r="D84" s="16" t="s">
        <v>330</v>
      </c>
      <c r="E84" s="16" t="s">
        <v>594</v>
      </c>
      <c r="F84" s="16" t="s">
        <v>4</v>
      </c>
      <c r="G84" s="16"/>
      <c r="H84" s="16" t="s">
        <v>595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25">
      <c r="A85" s="16" t="s">
        <v>596</v>
      </c>
      <c r="B85" s="16" t="s">
        <v>4394</v>
      </c>
      <c r="C85" s="16" t="str">
        <f t="shared" si="1"/>
        <v xml:space="preserve">Sean </v>
      </c>
      <c r="D85" s="16" t="s">
        <v>330</v>
      </c>
      <c r="E85" s="16" t="s">
        <v>597</v>
      </c>
      <c r="F85" s="16" t="s">
        <v>4</v>
      </c>
      <c r="G85" s="16"/>
      <c r="H85" s="16" t="s">
        <v>598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25">
      <c r="A86" s="16" t="s">
        <v>599</v>
      </c>
      <c r="B86" s="16" t="s">
        <v>4394</v>
      </c>
      <c r="C86" s="16" t="str">
        <f t="shared" si="1"/>
        <v xml:space="preserve">Aditya </v>
      </c>
      <c r="D86" s="16" t="s">
        <v>330</v>
      </c>
      <c r="E86" s="16" t="s">
        <v>600</v>
      </c>
      <c r="F86" s="16" t="s">
        <v>4</v>
      </c>
      <c r="G86" s="16" t="s">
        <v>601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25">
      <c r="A87" s="16" t="s">
        <v>352</v>
      </c>
      <c r="B87" s="16" t="s">
        <v>4394</v>
      </c>
      <c r="C87" s="16" t="str">
        <f t="shared" si="1"/>
        <v xml:space="preserve">LIM </v>
      </c>
      <c r="D87" s="16" t="s">
        <v>330</v>
      </c>
      <c r="E87" s="16" t="s">
        <v>602</v>
      </c>
      <c r="F87" s="16" t="s">
        <v>4</v>
      </c>
      <c r="G87" s="16"/>
      <c r="H87" s="16" t="s">
        <v>603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25">
      <c r="A88" s="16" t="s">
        <v>604</v>
      </c>
      <c r="B88" s="16" t="s">
        <v>4394</v>
      </c>
      <c r="C88" s="16" t="str">
        <f t="shared" si="1"/>
        <v xml:space="preserve">Fiona </v>
      </c>
      <c r="D88" s="16" t="s">
        <v>330</v>
      </c>
      <c r="E88" s="16" t="s">
        <v>605</v>
      </c>
      <c r="F88" s="16" t="s">
        <v>4</v>
      </c>
      <c r="G88" s="16"/>
      <c r="H88" s="16" t="s">
        <v>606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25">
      <c r="A89" s="16" t="s">
        <v>607</v>
      </c>
      <c r="B89" s="16" t="s">
        <v>608</v>
      </c>
      <c r="C89" s="16" t="str">
        <f t="shared" si="1"/>
        <v>Jargalmaa Undeejav</v>
      </c>
      <c r="D89" s="16" t="s">
        <v>330</v>
      </c>
      <c r="E89" s="16" t="s">
        <v>609</v>
      </c>
      <c r="F89" s="16" t="s">
        <v>4</v>
      </c>
      <c r="G89" s="16" t="s">
        <v>610</v>
      </c>
      <c r="H89" s="16">
        <v>96361213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25">
      <c r="A90" s="16" t="s">
        <v>352</v>
      </c>
      <c r="B90" s="16" t="s">
        <v>4394</v>
      </c>
      <c r="C90" s="16" t="str">
        <f t="shared" si="1"/>
        <v xml:space="preserve">LIM </v>
      </c>
      <c r="D90" s="16" t="s">
        <v>330</v>
      </c>
      <c r="E90" s="16" t="s">
        <v>611</v>
      </c>
      <c r="F90" s="16" t="s">
        <v>4</v>
      </c>
      <c r="G90" s="16"/>
      <c r="H90" s="16" t="s">
        <v>612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25">
      <c r="A91" s="16" t="s">
        <v>613</v>
      </c>
      <c r="B91" s="16" t="s">
        <v>4394</v>
      </c>
      <c r="C91" s="16" t="str">
        <f t="shared" si="1"/>
        <v xml:space="preserve">Raymond </v>
      </c>
      <c r="D91" s="16" t="s">
        <v>330</v>
      </c>
      <c r="E91" s="16" t="s">
        <v>614</v>
      </c>
      <c r="F91" s="16" t="s">
        <v>4</v>
      </c>
      <c r="G91" s="16" t="s">
        <v>615</v>
      </c>
      <c r="H91" s="16">
        <v>81177505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ht="25">
      <c r="A92" s="16" t="s">
        <v>616</v>
      </c>
      <c r="B92" s="16" t="s">
        <v>4394</v>
      </c>
      <c r="C92" s="16" t="str">
        <f t="shared" si="1"/>
        <v xml:space="preserve">Raj Devan </v>
      </c>
      <c r="D92" s="16" t="s">
        <v>330</v>
      </c>
      <c r="E92" s="16" t="s">
        <v>617</v>
      </c>
      <c r="F92" s="16" t="s">
        <v>4</v>
      </c>
      <c r="G92" s="16"/>
      <c r="H92" s="16" t="s">
        <v>618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25">
      <c r="A93" s="16" t="s">
        <v>619</v>
      </c>
      <c r="B93" s="16" t="s">
        <v>620</v>
      </c>
      <c r="C93" s="16" t="str">
        <f t="shared" si="1"/>
        <v>Emily Yii</v>
      </c>
      <c r="D93" s="16" t="s">
        <v>330</v>
      </c>
      <c r="E93" s="16" t="s">
        <v>621</v>
      </c>
      <c r="F93" s="16" t="s">
        <v>4</v>
      </c>
      <c r="G93" s="16" t="s">
        <v>622</v>
      </c>
      <c r="H93" s="16">
        <v>60109696389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25">
      <c r="A94" s="16" t="s">
        <v>623</v>
      </c>
      <c r="B94" s="16" t="s">
        <v>4394</v>
      </c>
      <c r="C94" s="16" t="str">
        <f t="shared" si="1"/>
        <v xml:space="preserve">Mr. Ling </v>
      </c>
      <c r="D94" s="16" t="s">
        <v>330</v>
      </c>
      <c r="E94" s="16" t="s">
        <v>624</v>
      </c>
      <c r="F94" s="16" t="s">
        <v>4</v>
      </c>
      <c r="G94" s="16"/>
      <c r="H94" s="16" t="s">
        <v>625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ht="25">
      <c r="A95" s="16" t="s">
        <v>626</v>
      </c>
      <c r="B95" s="16" t="s">
        <v>4394</v>
      </c>
      <c r="C95" s="16" t="str">
        <f t="shared" si="1"/>
        <v xml:space="preserve">Leong Weng Thye </v>
      </c>
      <c r="D95" s="16" t="s">
        <v>330</v>
      </c>
      <c r="E95" s="16" t="s">
        <v>627</v>
      </c>
      <c r="F95" s="16" t="s">
        <v>4</v>
      </c>
      <c r="G95" s="16" t="s">
        <v>628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ht="25">
      <c r="A96" s="16" t="s">
        <v>629</v>
      </c>
      <c r="B96" s="16" t="s">
        <v>630</v>
      </c>
      <c r="C96" s="16" t="str">
        <f t="shared" si="1"/>
        <v>Patrick Tay</v>
      </c>
      <c r="D96" s="16" t="s">
        <v>330</v>
      </c>
      <c r="E96" s="16" t="s">
        <v>631</v>
      </c>
      <c r="F96" s="16" t="s">
        <v>4</v>
      </c>
      <c r="G96" s="16" t="s">
        <v>632</v>
      </c>
      <c r="H96" s="16">
        <v>97114446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25">
      <c r="A97" s="16" t="s">
        <v>352</v>
      </c>
      <c r="B97" s="16" t="s">
        <v>4394</v>
      </c>
      <c r="C97" s="16" t="str">
        <f t="shared" si="1"/>
        <v xml:space="preserve">LIM </v>
      </c>
      <c r="D97" s="16" t="s">
        <v>330</v>
      </c>
      <c r="E97" s="16" t="s">
        <v>633</v>
      </c>
      <c r="F97" s="16" t="s">
        <v>4</v>
      </c>
      <c r="G97" s="16"/>
      <c r="H97" s="16" t="s">
        <v>634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25">
      <c r="A98" s="16" t="s">
        <v>635</v>
      </c>
      <c r="B98" s="16" t="s">
        <v>4394</v>
      </c>
      <c r="C98" s="16" t="str">
        <f t="shared" si="1"/>
        <v xml:space="preserve">Thinesh </v>
      </c>
      <c r="D98" s="16" t="s">
        <v>330</v>
      </c>
      <c r="E98" s="16" t="s">
        <v>636</v>
      </c>
      <c r="F98" s="16" t="s">
        <v>4</v>
      </c>
      <c r="G98" s="16" t="s">
        <v>637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25">
      <c r="A99" s="16" t="s">
        <v>352</v>
      </c>
      <c r="B99" s="16" t="s">
        <v>4394</v>
      </c>
      <c r="C99" s="16" t="str">
        <f t="shared" si="1"/>
        <v xml:space="preserve">LIM </v>
      </c>
      <c r="D99" s="16" t="s">
        <v>330</v>
      </c>
      <c r="E99" s="16" t="s">
        <v>638</v>
      </c>
      <c r="F99" s="16" t="s">
        <v>4</v>
      </c>
      <c r="G99" s="16"/>
      <c r="H99" s="16" t="s">
        <v>639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25">
      <c r="A100" s="16" t="s">
        <v>640</v>
      </c>
      <c r="B100" s="16" t="s">
        <v>641</v>
      </c>
      <c r="C100" s="16" t="str">
        <f t="shared" si="1"/>
        <v>Jiao Fang</v>
      </c>
      <c r="D100" s="16" t="s">
        <v>330</v>
      </c>
      <c r="E100" s="16" t="s">
        <v>642</v>
      </c>
      <c r="F100" s="16" t="s">
        <v>4</v>
      </c>
      <c r="G100" s="16" t="s">
        <v>643</v>
      </c>
      <c r="H100" s="16">
        <v>96730966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25">
      <c r="A101" s="16" t="s">
        <v>352</v>
      </c>
      <c r="B101" s="16" t="s">
        <v>4394</v>
      </c>
      <c r="C101" s="16" t="str">
        <f t="shared" si="1"/>
        <v xml:space="preserve">LIM </v>
      </c>
      <c r="D101" s="16" t="s">
        <v>330</v>
      </c>
      <c r="E101" s="16" t="s">
        <v>644</v>
      </c>
      <c r="F101" s="16" t="s">
        <v>4</v>
      </c>
      <c r="G101" s="16"/>
      <c r="H101" s="16" t="s">
        <v>645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25">
      <c r="A102" s="16" t="s">
        <v>352</v>
      </c>
      <c r="B102" s="16" t="s">
        <v>4394</v>
      </c>
      <c r="C102" s="16" t="str">
        <f t="shared" si="1"/>
        <v xml:space="preserve">LIM </v>
      </c>
      <c r="D102" s="16" t="s">
        <v>330</v>
      </c>
      <c r="E102" s="16" t="s">
        <v>646</v>
      </c>
      <c r="F102" s="16" t="s">
        <v>4</v>
      </c>
      <c r="G102" s="16"/>
      <c r="H102" s="16" t="s">
        <v>590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25">
      <c r="A103" s="16" t="s">
        <v>352</v>
      </c>
      <c r="B103" s="16" t="s">
        <v>4394</v>
      </c>
      <c r="C103" s="16" t="str">
        <f t="shared" si="1"/>
        <v xml:space="preserve">LIM </v>
      </c>
      <c r="D103" s="16" t="s">
        <v>330</v>
      </c>
      <c r="E103" s="16" t="s">
        <v>647</v>
      </c>
      <c r="F103" s="16" t="s">
        <v>4</v>
      </c>
      <c r="G103" s="16"/>
      <c r="H103" s="16" t="s">
        <v>648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ht="25">
      <c r="A104" s="16" t="s">
        <v>649</v>
      </c>
      <c r="B104" s="16" t="s">
        <v>4394</v>
      </c>
      <c r="C104" s="16" t="str">
        <f t="shared" si="1"/>
        <v xml:space="preserve">Joyce </v>
      </c>
      <c r="D104" s="16" t="s">
        <v>330</v>
      </c>
      <c r="E104" s="16" t="s">
        <v>650</v>
      </c>
      <c r="F104" s="16" t="s">
        <v>4</v>
      </c>
      <c r="G104" s="16" t="s">
        <v>651</v>
      </c>
      <c r="H104" s="16">
        <v>68028287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ht="25">
      <c r="A105" s="16" t="s">
        <v>652</v>
      </c>
      <c r="B105" s="16" t="s">
        <v>653</v>
      </c>
      <c r="C105" s="16" t="str">
        <f t="shared" si="1"/>
        <v>Andrew Chok</v>
      </c>
      <c r="D105" s="16" t="s">
        <v>330</v>
      </c>
      <c r="E105" s="16" t="s">
        <v>654</v>
      </c>
      <c r="F105" s="16" t="s">
        <v>4</v>
      </c>
      <c r="G105" s="16" t="s">
        <v>655</v>
      </c>
      <c r="H105" s="16">
        <v>97641101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ht="25">
      <c r="A106" s="16" t="s">
        <v>656</v>
      </c>
      <c r="B106" s="16" t="s">
        <v>657</v>
      </c>
      <c r="C106" s="16" t="str">
        <f t="shared" si="1"/>
        <v>keith koh</v>
      </c>
      <c r="D106" s="16" t="s">
        <v>330</v>
      </c>
      <c r="E106" s="16" t="s">
        <v>658</v>
      </c>
      <c r="F106" s="16" t="s">
        <v>4</v>
      </c>
      <c r="G106" s="16" t="s">
        <v>659</v>
      </c>
      <c r="H106" s="16">
        <v>92477385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25">
      <c r="A107" s="16" t="s">
        <v>660</v>
      </c>
      <c r="B107" s="16" t="s">
        <v>4394</v>
      </c>
      <c r="C107" s="16" t="str">
        <f t="shared" si="1"/>
        <v xml:space="preserve">Chris </v>
      </c>
      <c r="D107" s="16" t="s">
        <v>330</v>
      </c>
      <c r="E107" s="16" t="s">
        <v>661</v>
      </c>
      <c r="F107" s="16" t="s">
        <v>4</v>
      </c>
      <c r="G107" s="16" t="s">
        <v>662</v>
      </c>
      <c r="H107" s="16" t="s">
        <v>663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ht="25">
      <c r="A108" s="16" t="s">
        <v>352</v>
      </c>
      <c r="B108" s="16" t="s">
        <v>4394</v>
      </c>
      <c r="C108" s="16" t="str">
        <f t="shared" si="1"/>
        <v xml:space="preserve">LIM </v>
      </c>
      <c r="D108" s="16" t="s">
        <v>330</v>
      </c>
      <c r="E108" s="16" t="s">
        <v>664</v>
      </c>
      <c r="F108" s="16" t="s">
        <v>4</v>
      </c>
      <c r="G108" s="16"/>
      <c r="H108" s="16" t="s">
        <v>665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25">
      <c r="A109" s="16" t="s">
        <v>666</v>
      </c>
      <c r="B109" s="16" t="s">
        <v>667</v>
      </c>
      <c r="C109" s="16" t="str">
        <f t="shared" si="1"/>
        <v>Nathaniel Soh</v>
      </c>
      <c r="D109" s="16" t="s">
        <v>330</v>
      </c>
      <c r="E109" s="16" t="s">
        <v>668</v>
      </c>
      <c r="F109" s="16" t="s">
        <v>4</v>
      </c>
      <c r="G109" s="16" t="s">
        <v>669</v>
      </c>
      <c r="H109" s="16">
        <v>96231878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25">
      <c r="A110" s="16" t="s">
        <v>670</v>
      </c>
      <c r="B110" s="16" t="s">
        <v>352</v>
      </c>
      <c r="C110" s="16" t="str">
        <f t="shared" si="1"/>
        <v>DAPHNE LIM</v>
      </c>
      <c r="D110" s="16" t="s">
        <v>330</v>
      </c>
      <c r="E110" s="16" t="s">
        <v>671</v>
      </c>
      <c r="F110" s="16" t="s">
        <v>4</v>
      </c>
      <c r="G110" s="16" t="s">
        <v>672</v>
      </c>
      <c r="H110" s="16">
        <v>6592327085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ht="25">
      <c r="A111" s="16" t="s">
        <v>673</v>
      </c>
      <c r="B111" s="16" t="s">
        <v>4394</v>
      </c>
      <c r="C111" s="16" t="str">
        <f t="shared" si="1"/>
        <v xml:space="preserve">Margarita </v>
      </c>
      <c r="D111" s="16" t="s">
        <v>330</v>
      </c>
      <c r="E111" s="16" t="s">
        <v>674</v>
      </c>
      <c r="F111" s="16" t="s">
        <v>4</v>
      </c>
      <c r="G111" s="16"/>
      <c r="H111" s="16">
        <v>93654660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37.5">
      <c r="A112" s="16" t="s">
        <v>675</v>
      </c>
      <c r="B112" s="16" t="s">
        <v>4394</v>
      </c>
      <c r="C112" s="16" t="str">
        <f t="shared" si="1"/>
        <v xml:space="preserve">Peter </v>
      </c>
      <c r="D112" s="16" t="s">
        <v>330</v>
      </c>
      <c r="E112" s="16" t="s">
        <v>676</v>
      </c>
      <c r="F112" s="16" t="s">
        <v>4</v>
      </c>
      <c r="G112" s="16" t="s">
        <v>677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25">
      <c r="A113" s="16" t="s">
        <v>4392</v>
      </c>
      <c r="B113" s="16" t="s">
        <v>4394</v>
      </c>
      <c r="C113" s="16" t="str">
        <f t="shared" si="1"/>
        <v xml:space="preserve">
Fairoz Kareem </v>
      </c>
      <c r="D113" s="16" t="s">
        <v>330</v>
      </c>
      <c r="E113" s="16" t="s">
        <v>678</v>
      </c>
      <c r="F113" s="16" t="s">
        <v>4</v>
      </c>
      <c r="G113" s="16" t="s">
        <v>679</v>
      </c>
      <c r="H113" s="16" t="s">
        <v>680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25">
      <c r="A114" s="16" t="s">
        <v>681</v>
      </c>
      <c r="B114" s="16" t="s">
        <v>682</v>
      </c>
      <c r="C114" s="16" t="str">
        <f t="shared" si="1"/>
        <v>Nhat Linh Nguyen</v>
      </c>
      <c r="D114" s="16" t="s">
        <v>330</v>
      </c>
      <c r="E114" s="16" t="s">
        <v>683</v>
      </c>
      <c r="F114" s="16" t="s">
        <v>4</v>
      </c>
      <c r="G114" s="16" t="s">
        <v>684</v>
      </c>
      <c r="H114" s="16">
        <v>85113683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25">
      <c r="A115" s="16" t="s">
        <v>685</v>
      </c>
      <c r="B115" s="16" t="s">
        <v>4394</v>
      </c>
      <c r="C115" s="16" t="str">
        <f t="shared" si="1"/>
        <v xml:space="preserve">Erica </v>
      </c>
      <c r="D115" s="16" t="s">
        <v>330</v>
      </c>
      <c r="E115" s="16" t="s">
        <v>686</v>
      </c>
      <c r="F115" s="16" t="s">
        <v>4</v>
      </c>
      <c r="G115" s="16"/>
      <c r="H115" s="16" t="s">
        <v>687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25">
      <c r="A116" s="16" t="s">
        <v>688</v>
      </c>
      <c r="B116" s="16" t="s">
        <v>4394</v>
      </c>
      <c r="C116" s="16" t="str">
        <f t="shared" si="1"/>
        <v xml:space="preserve">Sharul </v>
      </c>
      <c r="D116" s="16" t="s">
        <v>330</v>
      </c>
      <c r="E116" s="16" t="s">
        <v>689</v>
      </c>
      <c r="F116" s="16" t="s">
        <v>4</v>
      </c>
      <c r="G116" s="16" t="s">
        <v>690</v>
      </c>
      <c r="H116" s="16" t="s">
        <v>691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25">
      <c r="A117" s="16" t="s">
        <v>352</v>
      </c>
      <c r="B117" s="16" t="s">
        <v>4394</v>
      </c>
      <c r="C117" s="16" t="str">
        <f t="shared" si="1"/>
        <v xml:space="preserve">LIM </v>
      </c>
      <c r="D117" s="16" t="s">
        <v>330</v>
      </c>
      <c r="E117" s="16" t="s">
        <v>692</v>
      </c>
      <c r="F117" s="16" t="s">
        <v>4</v>
      </c>
      <c r="G117" s="16"/>
      <c r="H117" s="16" t="s">
        <v>693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25">
      <c r="A118" s="16" t="s">
        <v>694</v>
      </c>
      <c r="B118" s="16" t="s">
        <v>4394</v>
      </c>
      <c r="C118" s="16" t="str">
        <f t="shared" si="1"/>
        <v xml:space="preserve">John </v>
      </c>
      <c r="D118" s="16" t="s">
        <v>330</v>
      </c>
      <c r="E118" s="16" t="s">
        <v>695</v>
      </c>
      <c r="F118" s="16" t="s">
        <v>4</v>
      </c>
      <c r="G118" s="16" t="s">
        <v>696</v>
      </c>
      <c r="H118" s="16">
        <v>83557764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25">
      <c r="A119" s="16" t="s">
        <v>697</v>
      </c>
      <c r="B119" s="16" t="s">
        <v>698</v>
      </c>
      <c r="C119" s="16" t="str">
        <f t="shared" si="1"/>
        <v>Leo Lau</v>
      </c>
      <c r="D119" s="16" t="s">
        <v>330</v>
      </c>
      <c r="E119" s="16" t="s">
        <v>699</v>
      </c>
      <c r="F119" s="16" t="s">
        <v>4</v>
      </c>
      <c r="G119" s="16" t="s">
        <v>700</v>
      </c>
      <c r="H119" s="16">
        <v>98560219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ht="25">
      <c r="A120" s="16" t="s">
        <v>701</v>
      </c>
      <c r="B120" s="16" t="s">
        <v>702</v>
      </c>
      <c r="C120" s="16" t="str">
        <f t="shared" si="1"/>
        <v>Terence Lim</v>
      </c>
      <c r="D120" s="16" t="s">
        <v>330</v>
      </c>
      <c r="E120" s="16" t="s">
        <v>703</v>
      </c>
      <c r="F120" s="16" t="s">
        <v>4</v>
      </c>
      <c r="G120" s="16" t="s">
        <v>704</v>
      </c>
      <c r="H120" s="16">
        <v>82180206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25">
      <c r="A121" s="16" t="s">
        <v>352</v>
      </c>
      <c r="B121" s="16" t="s">
        <v>4394</v>
      </c>
      <c r="C121" s="16" t="str">
        <f t="shared" si="1"/>
        <v xml:space="preserve">LIM </v>
      </c>
      <c r="D121" s="16" t="s">
        <v>330</v>
      </c>
      <c r="E121" s="16" t="s">
        <v>705</v>
      </c>
      <c r="F121" s="16" t="s">
        <v>4</v>
      </c>
      <c r="G121" s="16"/>
      <c r="H121" s="16">
        <v>83333644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25">
      <c r="A122" s="16" t="s">
        <v>706</v>
      </c>
      <c r="B122" s="16" t="s">
        <v>4394</v>
      </c>
      <c r="C122" s="16" t="str">
        <f t="shared" si="1"/>
        <v xml:space="preserve">Mikhael </v>
      </c>
      <c r="D122" s="16" t="s">
        <v>330</v>
      </c>
      <c r="E122" s="16" t="s">
        <v>707</v>
      </c>
      <c r="F122" s="16" t="s">
        <v>4</v>
      </c>
      <c r="G122" s="16" t="s">
        <v>708</v>
      </c>
      <c r="H122" s="16" t="s">
        <v>709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25">
      <c r="A123" s="16" t="s">
        <v>533</v>
      </c>
      <c r="B123" s="16" t="s">
        <v>4394</v>
      </c>
      <c r="C123" s="16" t="str">
        <f t="shared" si="1"/>
        <v xml:space="preserve">Jarenhow </v>
      </c>
      <c r="D123" s="16" t="s">
        <v>330</v>
      </c>
      <c r="E123" s="16" t="s">
        <v>710</v>
      </c>
      <c r="F123" s="16" t="s">
        <v>4</v>
      </c>
      <c r="G123" s="16" t="s">
        <v>535</v>
      </c>
      <c r="H123" s="16" t="s">
        <v>711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25">
      <c r="A124" s="16" t="s">
        <v>712</v>
      </c>
      <c r="B124" s="16" t="s">
        <v>713</v>
      </c>
      <c r="C124" s="16" t="str">
        <f t="shared" si="1"/>
        <v>Andrea Ngo</v>
      </c>
      <c r="D124" s="16" t="s">
        <v>330</v>
      </c>
      <c r="E124" s="16" t="s">
        <v>714</v>
      </c>
      <c r="F124" s="16" t="s">
        <v>4</v>
      </c>
      <c r="G124" s="16" t="s">
        <v>715</v>
      </c>
      <c r="H124" s="16">
        <v>98659743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25">
      <c r="A125" s="16" t="s">
        <v>716</v>
      </c>
      <c r="B125" s="16" t="s">
        <v>4394</v>
      </c>
      <c r="C125" s="16" t="str">
        <f t="shared" si="1"/>
        <v xml:space="preserve">Lena </v>
      </c>
      <c r="D125" s="16" t="s">
        <v>330</v>
      </c>
      <c r="E125" s="16" t="s">
        <v>717</v>
      </c>
      <c r="F125" s="16" t="s">
        <v>4</v>
      </c>
      <c r="G125" s="16" t="s">
        <v>718</v>
      </c>
      <c r="H125" s="16" t="s">
        <v>719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25">
      <c r="A126" s="16" t="s">
        <v>352</v>
      </c>
      <c r="B126" s="16" t="s">
        <v>4394</v>
      </c>
      <c r="C126" s="16" t="str">
        <f t="shared" si="1"/>
        <v xml:space="preserve">LIM </v>
      </c>
      <c r="D126" s="16" t="s">
        <v>330</v>
      </c>
      <c r="E126" s="16" t="s">
        <v>720</v>
      </c>
      <c r="F126" s="16" t="s">
        <v>4</v>
      </c>
      <c r="G126" s="16"/>
      <c r="H126" s="16" t="s">
        <v>721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25">
      <c r="A127" s="16" t="s">
        <v>722</v>
      </c>
      <c r="B127" s="16" t="s">
        <v>4394</v>
      </c>
      <c r="C127" s="16" t="str">
        <f t="shared" si="1"/>
        <v xml:space="preserve">Ms. SU </v>
      </c>
      <c r="D127" s="16" t="s">
        <v>330</v>
      </c>
      <c r="E127" s="16" t="s">
        <v>723</v>
      </c>
      <c r="F127" s="16" t="s">
        <v>4</v>
      </c>
      <c r="G127" s="16"/>
      <c r="H127" s="16" t="s">
        <v>724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25">
      <c r="A128" s="16" t="s">
        <v>725</v>
      </c>
      <c r="B128" s="16" t="s">
        <v>4394</v>
      </c>
      <c r="C128" s="16" t="str">
        <f t="shared" si="1"/>
        <v xml:space="preserve">Khyiel </v>
      </c>
      <c r="D128" s="16" t="s">
        <v>330</v>
      </c>
      <c r="E128" s="16" t="s">
        <v>726</v>
      </c>
      <c r="F128" s="16" t="s">
        <v>4</v>
      </c>
      <c r="G128" s="16" t="s">
        <v>727</v>
      </c>
      <c r="H128" s="16" t="s">
        <v>728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25">
      <c r="A129" s="16" t="s">
        <v>635</v>
      </c>
      <c r="B129" s="16" t="s">
        <v>4394</v>
      </c>
      <c r="C129" s="16" t="str">
        <f t="shared" si="1"/>
        <v xml:space="preserve">Thinesh </v>
      </c>
      <c r="D129" s="16" t="s">
        <v>330</v>
      </c>
      <c r="E129" s="16" t="s">
        <v>729</v>
      </c>
      <c r="F129" s="16" t="s">
        <v>4</v>
      </c>
      <c r="G129" s="16" t="s">
        <v>637</v>
      </c>
      <c r="H129" s="16" t="s">
        <v>730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25">
      <c r="A130" s="16" t="s">
        <v>352</v>
      </c>
      <c r="B130" s="16" t="s">
        <v>4394</v>
      </c>
      <c r="C130" s="16" t="str">
        <f t="shared" ref="C130:C193" si="2">_xlfn.CONCAT(A130," ",B130)</f>
        <v xml:space="preserve">LIM </v>
      </c>
      <c r="D130" s="16" t="s">
        <v>330</v>
      </c>
      <c r="E130" s="16" t="s">
        <v>731</v>
      </c>
      <c r="F130" s="16" t="s">
        <v>4</v>
      </c>
      <c r="G130" s="16"/>
      <c r="H130" s="16" t="s">
        <v>732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25">
      <c r="A131" s="16" t="s">
        <v>352</v>
      </c>
      <c r="B131" s="16" t="s">
        <v>4394</v>
      </c>
      <c r="C131" s="16" t="str">
        <f t="shared" si="2"/>
        <v xml:space="preserve">LIM </v>
      </c>
      <c r="D131" s="16" t="s">
        <v>330</v>
      </c>
      <c r="E131" s="16" t="s">
        <v>733</v>
      </c>
      <c r="F131" s="16" t="s">
        <v>4</v>
      </c>
      <c r="G131" s="16" t="s">
        <v>734</v>
      </c>
      <c r="H131" s="16" t="s">
        <v>735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25">
      <c r="A132" s="16" t="s">
        <v>736</v>
      </c>
      <c r="B132" s="16" t="s">
        <v>737</v>
      </c>
      <c r="C132" s="16" t="str">
        <f t="shared" si="2"/>
        <v>peter roberts</v>
      </c>
      <c r="D132" s="16" t="s">
        <v>330</v>
      </c>
      <c r="E132" s="16" t="s">
        <v>738</v>
      </c>
      <c r="F132" s="16" t="s">
        <v>4</v>
      </c>
      <c r="G132" s="16" t="s">
        <v>739</v>
      </c>
      <c r="H132" s="16">
        <v>97230585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25">
      <c r="A133" s="16" t="s">
        <v>740</v>
      </c>
      <c r="B133" s="16" t="s">
        <v>702</v>
      </c>
      <c r="C133" s="16" t="str">
        <f t="shared" si="2"/>
        <v>Yee Ling Lim</v>
      </c>
      <c r="D133" s="16" t="s">
        <v>330</v>
      </c>
      <c r="E133" s="16" t="s">
        <v>741</v>
      </c>
      <c r="F133" s="16" t="s">
        <v>4</v>
      </c>
      <c r="G133" s="16" t="s">
        <v>742</v>
      </c>
      <c r="H133" s="16">
        <v>6582202606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25">
      <c r="A134" s="16" t="s">
        <v>743</v>
      </c>
      <c r="B134" s="16" t="s">
        <v>744</v>
      </c>
      <c r="C134" s="16" t="str">
        <f t="shared" si="2"/>
        <v>Christopher Chan</v>
      </c>
      <c r="D134" s="16" t="s">
        <v>330</v>
      </c>
      <c r="E134" s="16" t="s">
        <v>745</v>
      </c>
      <c r="F134" s="16" t="s">
        <v>4</v>
      </c>
      <c r="G134" s="16" t="s">
        <v>746</v>
      </c>
      <c r="H134" s="16">
        <v>87645552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25">
      <c r="A135" s="16" t="s">
        <v>740</v>
      </c>
      <c r="B135" s="16" t="s">
        <v>702</v>
      </c>
      <c r="C135" s="16" t="str">
        <f t="shared" si="2"/>
        <v>Yee Ling Lim</v>
      </c>
      <c r="D135" s="16" t="s">
        <v>330</v>
      </c>
      <c r="E135" s="16" t="s">
        <v>747</v>
      </c>
      <c r="F135" s="16" t="s">
        <v>4</v>
      </c>
      <c r="G135" s="16" t="s">
        <v>742</v>
      </c>
      <c r="H135" s="16">
        <v>6582202606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25">
      <c r="A136" s="16" t="s">
        <v>352</v>
      </c>
      <c r="B136" s="16" t="s">
        <v>4394</v>
      </c>
      <c r="C136" s="16" t="str">
        <f t="shared" si="2"/>
        <v xml:space="preserve">LIM </v>
      </c>
      <c r="D136" s="16" t="s">
        <v>330</v>
      </c>
      <c r="E136" s="16" t="s">
        <v>748</v>
      </c>
      <c r="F136" s="16" t="s">
        <v>4</v>
      </c>
      <c r="G136" s="16" t="s">
        <v>749</v>
      </c>
      <c r="H136" s="16" t="s">
        <v>750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25">
      <c r="A137" s="16" t="s">
        <v>751</v>
      </c>
      <c r="B137" s="16" t="s">
        <v>2322</v>
      </c>
      <c r="C137" s="16" t="str">
        <f t="shared" si="2"/>
        <v>Derrick Chiam</v>
      </c>
      <c r="D137" s="16" t="s">
        <v>330</v>
      </c>
      <c r="E137" s="16" t="s">
        <v>752</v>
      </c>
      <c r="F137" s="16" t="s">
        <v>4</v>
      </c>
      <c r="G137" s="16" t="s">
        <v>753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25">
      <c r="A138" s="16" t="s">
        <v>389</v>
      </c>
      <c r="B138" s="16" t="s">
        <v>754</v>
      </c>
      <c r="C138" s="16" t="str">
        <f t="shared" si="2"/>
        <v>Jeremy HAN</v>
      </c>
      <c r="D138" s="16" t="s">
        <v>330</v>
      </c>
      <c r="E138" s="16" t="s">
        <v>755</v>
      </c>
      <c r="F138" s="16" t="s">
        <v>4</v>
      </c>
      <c r="G138" s="16" t="s">
        <v>756</v>
      </c>
      <c r="H138" s="16">
        <v>98736093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25">
      <c r="A139" s="16" t="s">
        <v>352</v>
      </c>
      <c r="B139" s="16" t="s">
        <v>4394</v>
      </c>
      <c r="C139" s="16" t="str">
        <f t="shared" si="2"/>
        <v xml:space="preserve">LIM </v>
      </c>
      <c r="D139" s="16" t="s">
        <v>330</v>
      </c>
      <c r="E139" s="16" t="s">
        <v>757</v>
      </c>
      <c r="F139" s="16" t="s">
        <v>4</v>
      </c>
      <c r="G139" s="16" t="s">
        <v>194</v>
      </c>
      <c r="H139" s="16" t="s">
        <v>758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25">
      <c r="A140" s="16" t="s">
        <v>759</v>
      </c>
      <c r="B140" s="16" t="s">
        <v>4394</v>
      </c>
      <c r="C140" s="16" t="str">
        <f t="shared" si="2"/>
        <v xml:space="preserve">Frank Chen </v>
      </c>
      <c r="D140" s="16" t="s">
        <v>330</v>
      </c>
      <c r="E140" s="16" t="s">
        <v>760</v>
      </c>
      <c r="F140" s="16" t="s">
        <v>4</v>
      </c>
      <c r="G140" s="16" t="s">
        <v>761</v>
      </c>
      <c r="H140" s="16" t="s">
        <v>762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ht="25">
      <c r="A141" s="16" t="s">
        <v>763</v>
      </c>
      <c r="B141" s="16" t="s">
        <v>764</v>
      </c>
      <c r="C141" s="16" t="str">
        <f t="shared" si="2"/>
        <v>Jung
 Kim</v>
      </c>
      <c r="D141" s="16" t="s">
        <v>330</v>
      </c>
      <c r="E141" s="16" t="s">
        <v>765</v>
      </c>
      <c r="F141" s="16" t="s">
        <v>4</v>
      </c>
      <c r="G141" s="16" t="s">
        <v>766</v>
      </c>
      <c r="H141" s="16">
        <v>9871329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25">
      <c r="A142" s="16" t="s">
        <v>767</v>
      </c>
      <c r="B142" s="16" t="s">
        <v>768</v>
      </c>
      <c r="C142" s="16" t="str">
        <f t="shared" si="2"/>
        <v>Stephen Jacob</v>
      </c>
      <c r="D142" s="16" t="s">
        <v>330</v>
      </c>
      <c r="E142" s="16" t="s">
        <v>769</v>
      </c>
      <c r="F142" s="16" t="s">
        <v>4</v>
      </c>
      <c r="G142" s="16" t="s">
        <v>770</v>
      </c>
      <c r="H142" s="16">
        <v>97633481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25">
      <c r="A143" s="16" t="s">
        <v>352</v>
      </c>
      <c r="B143" s="16" t="s">
        <v>4394</v>
      </c>
      <c r="C143" s="16" t="str">
        <f t="shared" si="2"/>
        <v xml:space="preserve">LIM </v>
      </c>
      <c r="D143" s="16" t="s">
        <v>330</v>
      </c>
      <c r="E143" s="16" t="s">
        <v>771</v>
      </c>
      <c r="F143" s="16" t="s">
        <v>4</v>
      </c>
      <c r="G143" s="16"/>
      <c r="H143" s="16" t="s">
        <v>772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25">
      <c r="A144" s="16" t="s">
        <v>773</v>
      </c>
      <c r="B144" s="16" t="s">
        <v>774</v>
      </c>
      <c r="C144" s="16" t="str">
        <f t="shared" si="2"/>
        <v>Isaac yap</v>
      </c>
      <c r="D144" s="16" t="s">
        <v>330</v>
      </c>
      <c r="E144" s="16" t="s">
        <v>775</v>
      </c>
      <c r="F144" s="16" t="s">
        <v>4</v>
      </c>
      <c r="G144" s="16" t="s">
        <v>776</v>
      </c>
      <c r="H144" s="16">
        <v>90903477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25">
      <c r="A145" s="16" t="s">
        <v>777</v>
      </c>
      <c r="B145" s="16" t="s">
        <v>778</v>
      </c>
      <c r="C145" s="16" t="str">
        <f t="shared" si="2"/>
        <v>eugene tan</v>
      </c>
      <c r="D145" s="16" t="s">
        <v>330</v>
      </c>
      <c r="E145" s="16" t="s">
        <v>779</v>
      </c>
      <c r="F145" s="16" t="s">
        <v>4</v>
      </c>
      <c r="G145" s="16" t="s">
        <v>780</v>
      </c>
      <c r="H145" s="16">
        <v>94502829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ht="25">
      <c r="A146" s="16" t="s">
        <v>781</v>
      </c>
      <c r="B146" s="16" t="s">
        <v>782</v>
      </c>
      <c r="C146" s="16" t="str">
        <f t="shared" si="2"/>
        <v>Alvin
 Phua</v>
      </c>
      <c r="D146" s="16" t="s">
        <v>330</v>
      </c>
      <c r="E146" s="16" t="s">
        <v>783</v>
      </c>
      <c r="F146" s="16" t="s">
        <v>4</v>
      </c>
      <c r="G146" s="16" t="s">
        <v>784</v>
      </c>
      <c r="H146" s="16">
        <v>90053324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ht="25">
      <c r="A147" s="16" t="s">
        <v>785</v>
      </c>
      <c r="B147" s="16" t="s">
        <v>786</v>
      </c>
      <c r="C147" s="16" t="str">
        <f t="shared" si="2"/>
        <v>yanjun li</v>
      </c>
      <c r="D147" s="16" t="s">
        <v>330</v>
      </c>
      <c r="E147" s="16" t="s">
        <v>787</v>
      </c>
      <c r="F147" s="16" t="s">
        <v>4</v>
      </c>
      <c r="G147" s="16" t="s">
        <v>788</v>
      </c>
      <c r="H147" s="16">
        <v>85432562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ht="25">
      <c r="A148" s="16" t="s">
        <v>789</v>
      </c>
      <c r="B148" s="16" t="s">
        <v>790</v>
      </c>
      <c r="C148" s="16" t="str">
        <f t="shared" si="2"/>
        <v>Yuga Thavendren</v>
      </c>
      <c r="D148" s="16" t="s">
        <v>330</v>
      </c>
      <c r="E148" s="16" t="s">
        <v>791</v>
      </c>
      <c r="F148" s="16" t="s">
        <v>4</v>
      </c>
      <c r="G148" s="16" t="s">
        <v>792</v>
      </c>
      <c r="H148" s="16">
        <v>96796722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ht="25">
      <c r="A149" s="16" t="s">
        <v>793</v>
      </c>
      <c r="B149" s="16" t="s">
        <v>794</v>
      </c>
      <c r="C149" s="16" t="str">
        <f t="shared" si="2"/>
        <v xml:space="preserve">Shannon Ching
</v>
      </c>
      <c r="D149" s="16" t="s">
        <v>330</v>
      </c>
      <c r="E149" s="16" t="s">
        <v>795</v>
      </c>
      <c r="F149" s="16" t="s">
        <v>4</v>
      </c>
      <c r="G149" s="16" t="s">
        <v>796</v>
      </c>
      <c r="H149" s="16">
        <v>97631312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25">
      <c r="A150" s="16" t="s">
        <v>797</v>
      </c>
      <c r="B150" s="16" t="s">
        <v>4394</v>
      </c>
      <c r="C150" s="16" t="str">
        <f t="shared" si="2"/>
        <v xml:space="preserve">Tristan </v>
      </c>
      <c r="D150" s="16" t="s">
        <v>330</v>
      </c>
      <c r="E150" s="16" t="s">
        <v>798</v>
      </c>
      <c r="F150" s="16" t="s">
        <v>4</v>
      </c>
      <c r="G150" s="16" t="s">
        <v>799</v>
      </c>
      <c r="H150" s="16" t="s">
        <v>800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25">
      <c r="A151" s="16" t="s">
        <v>352</v>
      </c>
      <c r="B151" s="16" t="s">
        <v>4394</v>
      </c>
      <c r="C151" s="16" t="str">
        <f t="shared" si="2"/>
        <v xml:space="preserve">LIM </v>
      </c>
      <c r="D151" s="16" t="s">
        <v>330</v>
      </c>
      <c r="E151" s="16" t="s">
        <v>801</v>
      </c>
      <c r="F151" s="16" t="s">
        <v>4</v>
      </c>
      <c r="G151" s="16"/>
      <c r="H151" s="16" t="s">
        <v>802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ht="25">
      <c r="A152" s="16" t="s">
        <v>803</v>
      </c>
      <c r="B152" s="16" t="s">
        <v>4394</v>
      </c>
      <c r="C152" s="16" t="str">
        <f t="shared" si="2"/>
        <v xml:space="preserve">Seah </v>
      </c>
      <c r="D152" s="16" t="s">
        <v>330</v>
      </c>
      <c r="E152" s="16" t="s">
        <v>804</v>
      </c>
      <c r="F152" s="16" t="s">
        <v>4</v>
      </c>
      <c r="G152" s="16" t="s">
        <v>805</v>
      </c>
      <c r="H152" s="16" t="s">
        <v>806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25">
      <c r="A153" s="16" t="s">
        <v>807</v>
      </c>
      <c r="B153" s="16" t="s">
        <v>372</v>
      </c>
      <c r="C153" s="16" t="str">
        <f t="shared" si="2"/>
        <v>Nicholas Tan</v>
      </c>
      <c r="D153" s="16" t="s">
        <v>330</v>
      </c>
      <c r="E153" s="16" t="s">
        <v>808</v>
      </c>
      <c r="F153" s="16" t="s">
        <v>4</v>
      </c>
      <c r="G153" s="16" t="s">
        <v>809</v>
      </c>
      <c r="H153" s="16">
        <v>94799779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37.5">
      <c r="A154" s="16" t="s">
        <v>810</v>
      </c>
      <c r="B154" s="16" t="s">
        <v>811</v>
      </c>
      <c r="C154" s="16" t="str">
        <f t="shared" si="2"/>
        <v>ann phun</v>
      </c>
      <c r="D154" s="16" t="s">
        <v>330</v>
      </c>
      <c r="E154" s="16" t="s">
        <v>812</v>
      </c>
      <c r="F154" s="16" t="s">
        <v>4</v>
      </c>
      <c r="G154" s="16" t="s">
        <v>813</v>
      </c>
      <c r="H154" s="16">
        <v>92320466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ht="25">
      <c r="A155" s="16" t="s">
        <v>814</v>
      </c>
      <c r="B155" s="16" t="s">
        <v>815</v>
      </c>
      <c r="C155" s="16" t="str">
        <f t="shared" si="2"/>
        <v>brenda qiqi</v>
      </c>
      <c r="D155" s="16" t="s">
        <v>330</v>
      </c>
      <c r="E155" s="16" t="s">
        <v>816</v>
      </c>
      <c r="F155" s="16" t="s">
        <v>4</v>
      </c>
      <c r="G155" s="16" t="s">
        <v>817</v>
      </c>
      <c r="H155" s="16">
        <v>90111511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ht="25">
      <c r="A156" s="16" t="s">
        <v>751</v>
      </c>
      <c r="B156" s="16" t="s">
        <v>4394</v>
      </c>
      <c r="C156" s="16" t="str">
        <f t="shared" si="2"/>
        <v xml:space="preserve">Derrick </v>
      </c>
      <c r="D156" s="16" t="s">
        <v>330</v>
      </c>
      <c r="E156" s="16" t="s">
        <v>818</v>
      </c>
      <c r="F156" s="16" t="s">
        <v>4</v>
      </c>
      <c r="G156" s="16"/>
      <c r="H156" s="16" t="s">
        <v>819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25">
      <c r="A157" s="16" t="s">
        <v>820</v>
      </c>
      <c r="B157" s="16" t="s">
        <v>821</v>
      </c>
      <c r="C157" s="16" t="str">
        <f t="shared" si="2"/>
        <v>Sharon Lee</v>
      </c>
      <c r="D157" s="16" t="s">
        <v>330</v>
      </c>
      <c r="E157" s="16" t="s">
        <v>822</v>
      </c>
      <c r="F157" s="16" t="s">
        <v>4</v>
      </c>
      <c r="G157" s="16" t="s">
        <v>823</v>
      </c>
      <c r="H157" s="16">
        <v>96774770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ht="25">
      <c r="A158" s="16" t="s">
        <v>744</v>
      </c>
      <c r="B158" s="16" t="s">
        <v>824</v>
      </c>
      <c r="C158" s="16" t="str">
        <f t="shared" si="2"/>
        <v xml:space="preserve">Chan Pei Xuan
</v>
      </c>
      <c r="D158" s="16" t="s">
        <v>330</v>
      </c>
      <c r="E158" s="16" t="s">
        <v>825</v>
      </c>
      <c r="F158" s="16" t="s">
        <v>4</v>
      </c>
      <c r="G158" s="16" t="s">
        <v>826</v>
      </c>
      <c r="H158" s="16">
        <v>90042012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25">
      <c r="A159" s="16" t="s">
        <v>827</v>
      </c>
      <c r="B159" s="16" t="s">
        <v>828</v>
      </c>
      <c r="C159" s="16" t="str">
        <f t="shared" si="2"/>
        <v>Eclaire Yeo</v>
      </c>
      <c r="D159" s="16" t="s">
        <v>330</v>
      </c>
      <c r="E159" s="16" t="s">
        <v>829</v>
      </c>
      <c r="F159" s="16" t="s">
        <v>4</v>
      </c>
      <c r="G159" s="16" t="s">
        <v>830</v>
      </c>
      <c r="H159" s="16">
        <v>92216024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ht="37.5">
      <c r="A160" s="16" t="s">
        <v>831</v>
      </c>
      <c r="B160" s="16" t="s">
        <v>832</v>
      </c>
      <c r="C160" s="16" t="str">
        <f t="shared" si="2"/>
        <v>Lynn Hamzah</v>
      </c>
      <c r="D160" s="16" t="s">
        <v>330</v>
      </c>
      <c r="E160" s="16" t="s">
        <v>833</v>
      </c>
      <c r="F160" s="16" t="s">
        <v>4</v>
      </c>
      <c r="G160" s="16" t="s">
        <v>834</v>
      </c>
      <c r="H160" s="16">
        <v>83225712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ht="37.5">
      <c r="A161" s="16" t="s">
        <v>835</v>
      </c>
      <c r="B161" s="16" t="s">
        <v>329</v>
      </c>
      <c r="C161" s="16" t="str">
        <f t="shared" si="2"/>
        <v>Audrey Neo</v>
      </c>
      <c r="D161" s="16" t="s">
        <v>330</v>
      </c>
      <c r="E161" s="16" t="s">
        <v>836</v>
      </c>
      <c r="F161" s="16" t="s">
        <v>4</v>
      </c>
      <c r="G161" s="16" t="s">
        <v>837</v>
      </c>
      <c r="H161" s="16">
        <v>6588287688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25">
      <c r="A162" s="16" t="s">
        <v>352</v>
      </c>
      <c r="B162" s="16" t="s">
        <v>4394</v>
      </c>
      <c r="C162" s="16" t="str">
        <f t="shared" si="2"/>
        <v xml:space="preserve">LIM </v>
      </c>
      <c r="D162" s="16" t="s">
        <v>330</v>
      </c>
      <c r="E162" s="16" t="s">
        <v>838</v>
      </c>
      <c r="F162" s="16" t="s">
        <v>4</v>
      </c>
      <c r="G162" s="16" t="s">
        <v>839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ht="25">
      <c r="A163" s="16" t="s">
        <v>840</v>
      </c>
      <c r="B163" s="16" t="s">
        <v>841</v>
      </c>
      <c r="C163" s="16" t="str">
        <f t="shared" si="2"/>
        <v>Roky LU</v>
      </c>
      <c r="D163" s="16" t="s">
        <v>330</v>
      </c>
      <c r="E163" s="16" t="s">
        <v>842</v>
      </c>
      <c r="F163" s="16" t="s">
        <v>4</v>
      </c>
      <c r="G163" s="16" t="s">
        <v>843</v>
      </c>
      <c r="H163" s="16">
        <v>89428742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25">
      <c r="A164" s="16" t="s">
        <v>352</v>
      </c>
      <c r="B164" s="16" t="s">
        <v>4394</v>
      </c>
      <c r="C164" s="16" t="str">
        <f t="shared" si="2"/>
        <v xml:space="preserve">LIM </v>
      </c>
      <c r="D164" s="16" t="s">
        <v>330</v>
      </c>
      <c r="E164" s="16" t="s">
        <v>844</v>
      </c>
      <c r="F164" s="16" t="s">
        <v>4</v>
      </c>
      <c r="G164" s="16"/>
      <c r="H164" s="16" t="s">
        <v>845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ht="25">
      <c r="A165" s="16" t="s">
        <v>846</v>
      </c>
      <c r="B165" s="16" t="s">
        <v>847</v>
      </c>
      <c r="C165" s="16" t="str">
        <f t="shared" si="2"/>
        <v>Wilson Adrianus</v>
      </c>
      <c r="D165" s="16" t="s">
        <v>330</v>
      </c>
      <c r="E165" s="16" t="s">
        <v>848</v>
      </c>
      <c r="F165" s="16" t="s">
        <v>4</v>
      </c>
      <c r="G165" s="16" t="s">
        <v>849</v>
      </c>
      <c r="H165" s="16">
        <v>98242823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37.5">
      <c r="A166" s="16" t="s">
        <v>352</v>
      </c>
      <c r="B166" s="16" t="s">
        <v>4394</v>
      </c>
      <c r="C166" s="16" t="str">
        <f t="shared" si="2"/>
        <v xml:space="preserve">LIM </v>
      </c>
      <c r="D166" s="16" t="s">
        <v>330</v>
      </c>
      <c r="E166" s="16" t="s">
        <v>850</v>
      </c>
      <c r="F166" s="16" t="s">
        <v>4</v>
      </c>
      <c r="G166" s="16" t="s">
        <v>851</v>
      </c>
      <c r="H166" s="16">
        <v>97772267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25">
      <c r="A167" s="16" t="s">
        <v>352</v>
      </c>
      <c r="B167" s="16" t="s">
        <v>4394</v>
      </c>
      <c r="C167" s="16" t="str">
        <f t="shared" si="2"/>
        <v xml:space="preserve">LIM </v>
      </c>
      <c r="D167" s="16" t="s">
        <v>330</v>
      </c>
      <c r="E167" s="16" t="s">
        <v>852</v>
      </c>
      <c r="F167" s="16" t="s">
        <v>4</v>
      </c>
      <c r="G167" s="16" t="s">
        <v>853</v>
      </c>
      <c r="H167" s="16">
        <v>85433878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25">
      <c r="A168" s="16" t="s">
        <v>4393</v>
      </c>
      <c r="B168" s="16" t="s">
        <v>854</v>
      </c>
      <c r="C168" s="16" t="str">
        <f t="shared" si="2"/>
        <v>Ray Chiang</v>
      </c>
      <c r="D168" s="16" t="s">
        <v>330</v>
      </c>
      <c r="E168" s="16" t="s">
        <v>855</v>
      </c>
      <c r="F168" s="16" t="s">
        <v>4</v>
      </c>
      <c r="G168" s="16" t="s">
        <v>856</v>
      </c>
      <c r="H168" s="16">
        <v>81259585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ht="25">
      <c r="A169" s="16" t="s">
        <v>857</v>
      </c>
      <c r="B169" s="16" t="s">
        <v>858</v>
      </c>
      <c r="C169" s="16" t="str">
        <f t="shared" si="2"/>
        <v>ALBERT TIAN</v>
      </c>
      <c r="D169" s="16" t="s">
        <v>330</v>
      </c>
      <c r="E169" s="16" t="s">
        <v>859</v>
      </c>
      <c r="F169" s="16" t="s">
        <v>4</v>
      </c>
      <c r="G169" s="16" t="s">
        <v>860</v>
      </c>
      <c r="H169" s="16">
        <v>89380005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ht="25">
      <c r="A170" s="16" t="s">
        <v>861</v>
      </c>
      <c r="B170" s="16" t="s">
        <v>862</v>
      </c>
      <c r="C170" s="16" t="str">
        <f t="shared" si="2"/>
        <v>Yating Peng</v>
      </c>
      <c r="D170" s="16" t="s">
        <v>330</v>
      </c>
      <c r="E170" s="16" t="s">
        <v>863</v>
      </c>
      <c r="F170" s="16" t="s">
        <v>4</v>
      </c>
      <c r="G170" s="16" t="s">
        <v>864</v>
      </c>
      <c r="H170" s="16">
        <v>81508796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25">
      <c r="A171" s="16" t="s">
        <v>352</v>
      </c>
      <c r="B171" s="16" t="s">
        <v>4394</v>
      </c>
      <c r="C171" s="16" t="str">
        <f t="shared" si="2"/>
        <v xml:space="preserve">LIM </v>
      </c>
      <c r="D171" s="16" t="s">
        <v>330</v>
      </c>
      <c r="E171" s="16" t="s">
        <v>865</v>
      </c>
      <c r="F171" s="16" t="s">
        <v>4</v>
      </c>
      <c r="G171" s="16" t="s">
        <v>866</v>
      </c>
      <c r="H171" s="16">
        <v>91641311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25">
      <c r="A172" s="16" t="s">
        <v>352</v>
      </c>
      <c r="B172" s="16" t="s">
        <v>4394</v>
      </c>
      <c r="C172" s="16" t="str">
        <f t="shared" si="2"/>
        <v xml:space="preserve">LIM </v>
      </c>
      <c r="D172" s="16" t="s">
        <v>330</v>
      </c>
      <c r="E172" s="16" t="s">
        <v>867</v>
      </c>
      <c r="F172" s="16" t="s">
        <v>4</v>
      </c>
      <c r="G172" s="16"/>
      <c r="H172" s="16" t="s">
        <v>868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25">
      <c r="A173" s="16" t="s">
        <v>869</v>
      </c>
      <c r="B173" s="16" t="s">
        <v>870</v>
      </c>
      <c r="C173" s="16" t="str">
        <f t="shared" si="2"/>
        <v>Wei Hua</v>
      </c>
      <c r="D173" s="16" t="s">
        <v>330</v>
      </c>
      <c r="E173" s="16" t="s">
        <v>871</v>
      </c>
      <c r="F173" s="16" t="s">
        <v>4</v>
      </c>
      <c r="G173" s="16" t="s">
        <v>872</v>
      </c>
      <c r="H173" s="16">
        <v>84995908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ht="25">
      <c r="A174" s="16" t="s">
        <v>932</v>
      </c>
      <c r="B174" s="16" t="s">
        <v>4394</v>
      </c>
      <c r="C174" s="16" t="str">
        <f t="shared" si="2"/>
        <v xml:space="preserve">Amanda </v>
      </c>
      <c r="D174" s="16" t="s">
        <v>330</v>
      </c>
      <c r="E174" s="16" t="s">
        <v>873</v>
      </c>
      <c r="F174" s="16" t="s">
        <v>4</v>
      </c>
      <c r="G174" s="16" t="s">
        <v>874</v>
      </c>
      <c r="H174" s="16">
        <v>97233460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25">
      <c r="A175" s="16" t="s">
        <v>352</v>
      </c>
      <c r="B175" s="16" t="s">
        <v>4394</v>
      </c>
      <c r="C175" s="16" t="str">
        <f t="shared" si="2"/>
        <v xml:space="preserve">LIM </v>
      </c>
      <c r="D175" s="16" t="s">
        <v>330</v>
      </c>
      <c r="E175" s="16" t="s">
        <v>875</v>
      </c>
      <c r="F175" s="16" t="s">
        <v>4</v>
      </c>
      <c r="G175" s="16"/>
      <c r="H175" s="16" t="s">
        <v>876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25">
      <c r="A176" s="16" t="s">
        <v>877</v>
      </c>
      <c r="B176" s="16" t="s">
        <v>878</v>
      </c>
      <c r="C176" s="16" t="str">
        <f t="shared" si="2"/>
        <v>Clare Koh</v>
      </c>
      <c r="D176" s="16" t="s">
        <v>330</v>
      </c>
      <c r="E176" s="16"/>
      <c r="F176" s="16" t="s">
        <v>4</v>
      </c>
      <c r="G176" s="16" t="s">
        <v>879</v>
      </c>
      <c r="H176" s="16">
        <v>82024879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ht="25">
      <c r="A177" s="16" t="s">
        <v>880</v>
      </c>
      <c r="B177" s="16" t="s">
        <v>803</v>
      </c>
      <c r="C177" s="16" t="str">
        <f t="shared" si="2"/>
        <v>George Seah</v>
      </c>
      <c r="D177" s="16" t="s">
        <v>330</v>
      </c>
      <c r="E177" s="16" t="s">
        <v>881</v>
      </c>
      <c r="F177" s="16" t="s">
        <v>4</v>
      </c>
      <c r="G177" s="16" t="s">
        <v>882</v>
      </c>
      <c r="H177" s="16">
        <v>6597257730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25">
      <c r="A178" s="16" t="s">
        <v>352</v>
      </c>
      <c r="B178" s="16" t="s">
        <v>4394</v>
      </c>
      <c r="C178" s="16" t="str">
        <f t="shared" si="2"/>
        <v xml:space="preserve">LIM </v>
      </c>
      <c r="D178" s="16" t="s">
        <v>330</v>
      </c>
      <c r="E178" s="16" t="s">
        <v>883</v>
      </c>
      <c r="F178" s="16" t="s">
        <v>4</v>
      </c>
      <c r="G178" s="16" t="s">
        <v>884</v>
      </c>
      <c r="H178" s="16">
        <v>94497176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ht="25">
      <c r="A179" s="16" t="s">
        <v>885</v>
      </c>
      <c r="B179" s="16" t="s">
        <v>4394</v>
      </c>
      <c r="C179" s="16" t="str">
        <f t="shared" si="2"/>
        <v xml:space="preserve">Chong Yih Eric Ooi </v>
      </c>
      <c r="D179" s="16" t="s">
        <v>330</v>
      </c>
      <c r="E179" s="16" t="s">
        <v>886</v>
      </c>
      <c r="F179" s="16" t="s">
        <v>4</v>
      </c>
      <c r="G179" s="16" t="s">
        <v>887</v>
      </c>
      <c r="H179" s="16" t="s">
        <v>888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ht="25">
      <c r="A180" s="16" t="s">
        <v>352</v>
      </c>
      <c r="B180" s="16" t="s">
        <v>4394</v>
      </c>
      <c r="C180" s="16" t="str">
        <f t="shared" si="2"/>
        <v xml:space="preserve">LIM </v>
      </c>
      <c r="D180" s="16" t="s">
        <v>330</v>
      </c>
      <c r="E180" s="16" t="s">
        <v>889</v>
      </c>
      <c r="F180" s="16" t="s">
        <v>4</v>
      </c>
      <c r="G180" s="16"/>
      <c r="H180" s="16" t="s">
        <v>890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25">
      <c r="A181" s="16" t="s">
        <v>891</v>
      </c>
      <c r="B181" s="16" t="s">
        <v>4394</v>
      </c>
      <c r="C181" s="16" t="str">
        <f t="shared" si="2"/>
        <v xml:space="preserve">Sharlene Yeo </v>
      </c>
      <c r="D181" s="16" t="s">
        <v>330</v>
      </c>
      <c r="E181" s="16" t="s">
        <v>892</v>
      </c>
      <c r="F181" s="16" t="s">
        <v>4</v>
      </c>
      <c r="G181" s="16" t="s">
        <v>893</v>
      </c>
      <c r="H181" s="16" t="s">
        <v>894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ht="12.5">
      <c r="A182" s="16" t="s">
        <v>4394</v>
      </c>
      <c r="B182" s="16" t="s">
        <v>4394</v>
      </c>
      <c r="C182" s="16" t="str">
        <f t="shared" si="2"/>
        <v xml:space="preserve"> 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ht="12.5">
      <c r="A183" s="16" t="s">
        <v>4394</v>
      </c>
      <c r="B183" s="16" t="s">
        <v>4394</v>
      </c>
      <c r="C183" s="16" t="str">
        <f t="shared" si="2"/>
        <v xml:space="preserve"> 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2.5">
      <c r="A184" s="16" t="s">
        <v>4394</v>
      </c>
      <c r="B184" s="16" t="s">
        <v>4394</v>
      </c>
      <c r="C184" s="16" t="str">
        <f t="shared" si="2"/>
        <v xml:space="preserve"> 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2.5">
      <c r="A185" s="16" t="s">
        <v>4394</v>
      </c>
      <c r="B185" s="16" t="s">
        <v>4394</v>
      </c>
      <c r="C185" s="16" t="str">
        <f t="shared" si="2"/>
        <v xml:space="preserve"> 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ht="12.5">
      <c r="A186" s="16" t="s">
        <v>4394</v>
      </c>
      <c r="B186" s="16" t="s">
        <v>4394</v>
      </c>
      <c r="C186" s="16" t="str">
        <f t="shared" si="2"/>
        <v xml:space="preserve"> 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ht="12.5">
      <c r="A187" s="16" t="s">
        <v>4394</v>
      </c>
      <c r="B187" s="16" t="s">
        <v>4394</v>
      </c>
      <c r="C187" s="16" t="str">
        <f t="shared" si="2"/>
        <v xml:space="preserve"> 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2.5">
      <c r="A188" s="16" t="s">
        <v>4394</v>
      </c>
      <c r="B188" s="16" t="s">
        <v>4394</v>
      </c>
      <c r="C188" s="16" t="str">
        <f t="shared" si="2"/>
        <v xml:space="preserve"> 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2.5">
      <c r="A189" s="16" t="s">
        <v>4394</v>
      </c>
      <c r="B189" s="16" t="s">
        <v>4394</v>
      </c>
      <c r="C189" s="16" t="str">
        <f t="shared" si="2"/>
        <v xml:space="preserve"> 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ht="12.5">
      <c r="A190" s="16" t="s">
        <v>4394</v>
      </c>
      <c r="B190" s="16" t="s">
        <v>4394</v>
      </c>
      <c r="C190" s="16" t="str">
        <f t="shared" si="2"/>
        <v xml:space="preserve"> 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ht="12.5">
      <c r="A191" s="16" t="s">
        <v>4394</v>
      </c>
      <c r="B191" s="16" t="s">
        <v>4394</v>
      </c>
      <c r="C191" s="16" t="str">
        <f t="shared" si="2"/>
        <v xml:space="preserve"> 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2.5">
      <c r="A192" s="16" t="s">
        <v>4394</v>
      </c>
      <c r="B192" s="16" t="s">
        <v>4394</v>
      </c>
      <c r="C192" s="16" t="str">
        <f t="shared" si="2"/>
        <v xml:space="preserve"> 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2.5">
      <c r="A193" s="16" t="s">
        <v>4394</v>
      </c>
      <c r="B193" s="16" t="s">
        <v>4394</v>
      </c>
      <c r="C193" s="16" t="str">
        <f t="shared" si="2"/>
        <v xml:space="preserve"> 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ht="12.5">
      <c r="A194" s="16" t="s">
        <v>4394</v>
      </c>
      <c r="B194" s="16" t="s">
        <v>4394</v>
      </c>
      <c r="C194" s="16" t="str">
        <f t="shared" ref="C194:C257" si="3">_xlfn.CONCAT(A194," ",B194)</f>
        <v xml:space="preserve"> 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2.5">
      <c r="A195" s="16" t="s">
        <v>4394</v>
      </c>
      <c r="B195" s="16" t="s">
        <v>4394</v>
      </c>
      <c r="C195" s="16" t="str">
        <f t="shared" si="3"/>
        <v xml:space="preserve"> 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2.5">
      <c r="A196" s="16" t="s">
        <v>4394</v>
      </c>
      <c r="B196" s="16" t="s">
        <v>4394</v>
      </c>
      <c r="C196" s="16" t="str">
        <f t="shared" si="3"/>
        <v xml:space="preserve"> 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ht="12.5">
      <c r="A197" s="16" t="s">
        <v>4394</v>
      </c>
      <c r="B197" s="16" t="s">
        <v>4394</v>
      </c>
      <c r="C197" s="16" t="str">
        <f t="shared" si="3"/>
        <v xml:space="preserve"> 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ht="12.5">
      <c r="A198" s="16" t="s">
        <v>4394</v>
      </c>
      <c r="B198" s="16" t="s">
        <v>4394</v>
      </c>
      <c r="C198" s="16" t="str">
        <f t="shared" si="3"/>
        <v xml:space="preserve"> 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ht="12.5">
      <c r="A199" s="16" t="s">
        <v>4394</v>
      </c>
      <c r="B199" s="16" t="s">
        <v>4394</v>
      </c>
      <c r="C199" s="16" t="str">
        <f t="shared" si="3"/>
        <v xml:space="preserve"> 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ht="12.5">
      <c r="A200" s="16" t="s">
        <v>4394</v>
      </c>
      <c r="B200" s="16" t="s">
        <v>4394</v>
      </c>
      <c r="C200" s="16" t="str">
        <f t="shared" si="3"/>
        <v xml:space="preserve"> 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ht="12.5">
      <c r="A201" s="16" t="s">
        <v>4394</v>
      </c>
      <c r="B201" s="16" t="s">
        <v>4394</v>
      </c>
      <c r="C201" s="16" t="str">
        <f t="shared" si="3"/>
        <v xml:space="preserve"> 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ht="12.5">
      <c r="A202" s="16" t="s">
        <v>4394</v>
      </c>
      <c r="B202" s="16" t="s">
        <v>4394</v>
      </c>
      <c r="C202" s="16" t="str">
        <f t="shared" si="3"/>
        <v xml:space="preserve"> 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ht="12.5">
      <c r="A203" s="16" t="s">
        <v>4394</v>
      </c>
      <c r="B203" s="16" t="s">
        <v>4394</v>
      </c>
      <c r="C203" s="16" t="str">
        <f t="shared" si="3"/>
        <v xml:space="preserve"> 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ht="12.5">
      <c r="A204" s="16" t="s">
        <v>4394</v>
      </c>
      <c r="B204" s="16" t="s">
        <v>4394</v>
      </c>
      <c r="C204" s="16" t="str">
        <f t="shared" si="3"/>
        <v xml:space="preserve"> 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ht="12.5">
      <c r="A205" s="16" t="s">
        <v>4394</v>
      </c>
      <c r="B205" s="16" t="s">
        <v>4394</v>
      </c>
      <c r="C205" s="16" t="str">
        <f t="shared" si="3"/>
        <v xml:space="preserve"> 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ht="12.5">
      <c r="A206" s="16" t="s">
        <v>4394</v>
      </c>
      <c r="B206" s="16" t="s">
        <v>4394</v>
      </c>
      <c r="C206" s="16" t="str">
        <f t="shared" si="3"/>
        <v xml:space="preserve"> 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ht="12.5">
      <c r="A207" s="16" t="s">
        <v>4394</v>
      </c>
      <c r="B207" s="16" t="s">
        <v>4394</v>
      </c>
      <c r="C207" s="16" t="str">
        <f t="shared" si="3"/>
        <v xml:space="preserve"> 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ht="12.5">
      <c r="A208" s="16" t="s">
        <v>4394</v>
      </c>
      <c r="B208" s="16" t="s">
        <v>4394</v>
      </c>
      <c r="C208" s="16" t="str">
        <f t="shared" si="3"/>
        <v xml:space="preserve"> 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ht="12.5">
      <c r="A209" s="16" t="s">
        <v>4394</v>
      </c>
      <c r="B209" s="16" t="s">
        <v>4394</v>
      </c>
      <c r="C209" s="16" t="str">
        <f t="shared" si="3"/>
        <v xml:space="preserve"> 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ht="12.5">
      <c r="A210" s="16" t="s">
        <v>4394</v>
      </c>
      <c r="B210" s="16" t="s">
        <v>4394</v>
      </c>
      <c r="C210" s="16" t="str">
        <f t="shared" si="3"/>
        <v xml:space="preserve"> 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ht="12.5">
      <c r="A211" s="16" t="s">
        <v>4394</v>
      </c>
      <c r="B211" s="16" t="s">
        <v>4394</v>
      </c>
      <c r="C211" s="16" t="str">
        <f t="shared" si="3"/>
        <v xml:space="preserve"> 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ht="12.5">
      <c r="A212" s="16" t="s">
        <v>4394</v>
      </c>
      <c r="B212" s="16" t="s">
        <v>4394</v>
      </c>
      <c r="C212" s="16" t="str">
        <f t="shared" si="3"/>
        <v xml:space="preserve"> 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ht="12.5">
      <c r="A213" s="16" t="s">
        <v>4394</v>
      </c>
      <c r="B213" s="16" t="s">
        <v>4394</v>
      </c>
      <c r="C213" s="16" t="str">
        <f t="shared" si="3"/>
        <v xml:space="preserve"> 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ht="12.5">
      <c r="A214" s="16" t="s">
        <v>4394</v>
      </c>
      <c r="B214" s="16" t="s">
        <v>4394</v>
      </c>
      <c r="C214" s="16" t="str">
        <f t="shared" si="3"/>
        <v xml:space="preserve"> 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ht="12.5">
      <c r="A215" s="16" t="s">
        <v>4394</v>
      </c>
      <c r="B215" s="16" t="s">
        <v>4394</v>
      </c>
      <c r="C215" s="16" t="str">
        <f t="shared" si="3"/>
        <v xml:space="preserve"> 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ht="12.5">
      <c r="A216" s="16" t="s">
        <v>4394</v>
      </c>
      <c r="B216" s="16" t="s">
        <v>4394</v>
      </c>
      <c r="C216" s="16" t="str">
        <f t="shared" si="3"/>
        <v xml:space="preserve"> 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ht="12.5">
      <c r="A217" s="16" t="s">
        <v>4394</v>
      </c>
      <c r="B217" s="16" t="s">
        <v>4394</v>
      </c>
      <c r="C217" s="16" t="str">
        <f t="shared" si="3"/>
        <v xml:space="preserve"> 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ht="12.5">
      <c r="A218" s="16" t="s">
        <v>4394</v>
      </c>
      <c r="B218" s="16" t="s">
        <v>4394</v>
      </c>
      <c r="C218" s="16" t="str">
        <f t="shared" si="3"/>
        <v xml:space="preserve"> 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ht="12.5">
      <c r="A219" s="16" t="s">
        <v>4394</v>
      </c>
      <c r="B219" s="16" t="s">
        <v>4394</v>
      </c>
      <c r="C219" s="16" t="str">
        <f t="shared" si="3"/>
        <v xml:space="preserve"> 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ht="12.5">
      <c r="A220" s="16" t="s">
        <v>4394</v>
      </c>
      <c r="B220" s="16" t="s">
        <v>4394</v>
      </c>
      <c r="C220" s="16" t="str">
        <f t="shared" si="3"/>
        <v xml:space="preserve"> 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ht="12.5">
      <c r="A221" s="16" t="s">
        <v>4394</v>
      </c>
      <c r="B221" s="16" t="s">
        <v>4394</v>
      </c>
      <c r="C221" s="16" t="str">
        <f t="shared" si="3"/>
        <v xml:space="preserve"> 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ht="12.5">
      <c r="A222" s="16" t="s">
        <v>4394</v>
      </c>
      <c r="B222" s="16" t="s">
        <v>4394</v>
      </c>
      <c r="C222" s="16" t="str">
        <f t="shared" si="3"/>
        <v xml:space="preserve"> 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ht="12.5">
      <c r="A223" s="16" t="s">
        <v>4394</v>
      </c>
      <c r="B223" s="16" t="s">
        <v>4394</v>
      </c>
      <c r="C223" s="16" t="str">
        <f t="shared" si="3"/>
        <v xml:space="preserve"> 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ht="12.5">
      <c r="A224" s="16" t="s">
        <v>4394</v>
      </c>
      <c r="B224" s="16" t="s">
        <v>4394</v>
      </c>
      <c r="C224" s="16" t="str">
        <f t="shared" si="3"/>
        <v xml:space="preserve"> 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ht="12.5">
      <c r="A225" s="16" t="s">
        <v>4394</v>
      </c>
      <c r="B225" s="16" t="s">
        <v>4394</v>
      </c>
      <c r="C225" s="16" t="str">
        <f t="shared" si="3"/>
        <v xml:space="preserve"> 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ht="12.5">
      <c r="A226" s="16" t="s">
        <v>4394</v>
      </c>
      <c r="B226" s="16" t="s">
        <v>4394</v>
      </c>
      <c r="C226" s="16" t="str">
        <f t="shared" si="3"/>
        <v xml:space="preserve"> 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ht="12.5">
      <c r="A227" s="16" t="s">
        <v>4394</v>
      </c>
      <c r="B227" s="16" t="s">
        <v>4394</v>
      </c>
      <c r="C227" s="16" t="str">
        <f t="shared" si="3"/>
        <v xml:space="preserve"> 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ht="12.5">
      <c r="A228" s="16" t="s">
        <v>4394</v>
      </c>
      <c r="B228" s="16" t="s">
        <v>4394</v>
      </c>
      <c r="C228" s="16" t="str">
        <f t="shared" si="3"/>
        <v xml:space="preserve"> 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ht="12.5">
      <c r="A229" s="16" t="s">
        <v>4394</v>
      </c>
      <c r="B229" s="16" t="s">
        <v>4394</v>
      </c>
      <c r="C229" s="16" t="str">
        <f t="shared" si="3"/>
        <v xml:space="preserve"> 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ht="12.5">
      <c r="A230" s="16" t="s">
        <v>4394</v>
      </c>
      <c r="B230" s="16" t="s">
        <v>4394</v>
      </c>
      <c r="C230" s="16" t="str">
        <f t="shared" si="3"/>
        <v xml:space="preserve"> 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ht="12.5">
      <c r="A231" s="16" t="s">
        <v>4394</v>
      </c>
      <c r="B231" s="16" t="s">
        <v>4394</v>
      </c>
      <c r="C231" s="16" t="str">
        <f t="shared" si="3"/>
        <v xml:space="preserve"> 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ht="12.5">
      <c r="A232" s="16" t="s">
        <v>4394</v>
      </c>
      <c r="B232" s="16" t="s">
        <v>4394</v>
      </c>
      <c r="C232" s="16" t="str">
        <f t="shared" si="3"/>
        <v xml:space="preserve"> 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ht="12.5">
      <c r="A233" s="16" t="s">
        <v>4394</v>
      </c>
      <c r="B233" s="16" t="s">
        <v>4394</v>
      </c>
      <c r="C233" s="16" t="str">
        <f t="shared" si="3"/>
        <v xml:space="preserve"> 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ht="12.5">
      <c r="A234" s="16" t="s">
        <v>4394</v>
      </c>
      <c r="B234" s="16" t="s">
        <v>4394</v>
      </c>
      <c r="C234" s="16" t="str">
        <f t="shared" si="3"/>
        <v xml:space="preserve"> 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ht="12.5">
      <c r="A235" s="16" t="s">
        <v>4394</v>
      </c>
      <c r="B235" s="16" t="s">
        <v>4394</v>
      </c>
      <c r="C235" s="16" t="str">
        <f t="shared" si="3"/>
        <v xml:space="preserve"> 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ht="12.5">
      <c r="A236" s="16" t="s">
        <v>4394</v>
      </c>
      <c r="B236" s="16" t="s">
        <v>4394</v>
      </c>
      <c r="C236" s="16" t="str">
        <f t="shared" si="3"/>
        <v xml:space="preserve"> 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ht="12.5">
      <c r="A237" s="16" t="s">
        <v>4394</v>
      </c>
      <c r="B237" s="16" t="s">
        <v>4394</v>
      </c>
      <c r="C237" s="16" t="str">
        <f t="shared" si="3"/>
        <v xml:space="preserve"> 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ht="12.5">
      <c r="A238" s="16" t="s">
        <v>4394</v>
      </c>
      <c r="B238" s="16" t="s">
        <v>4394</v>
      </c>
      <c r="C238" s="16" t="str">
        <f t="shared" si="3"/>
        <v xml:space="preserve"> 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ht="12.5">
      <c r="A239" s="16" t="s">
        <v>4394</v>
      </c>
      <c r="B239" s="16" t="s">
        <v>4394</v>
      </c>
      <c r="C239" s="16" t="str">
        <f t="shared" si="3"/>
        <v xml:space="preserve"> 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ht="12.5">
      <c r="A240" s="16" t="s">
        <v>4394</v>
      </c>
      <c r="B240" s="16" t="s">
        <v>4394</v>
      </c>
      <c r="C240" s="16" t="str">
        <f t="shared" si="3"/>
        <v xml:space="preserve"> 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ht="12.5">
      <c r="A241" s="16" t="s">
        <v>4394</v>
      </c>
      <c r="B241" s="16" t="s">
        <v>4394</v>
      </c>
      <c r="C241" s="16" t="str">
        <f t="shared" si="3"/>
        <v xml:space="preserve"> 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ht="12.5">
      <c r="A242" s="16" t="s">
        <v>4394</v>
      </c>
      <c r="B242" s="16" t="s">
        <v>4394</v>
      </c>
      <c r="C242" s="16" t="str">
        <f t="shared" si="3"/>
        <v xml:space="preserve"> 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ht="12.5">
      <c r="A243" s="16" t="s">
        <v>4394</v>
      </c>
      <c r="B243" s="16" t="s">
        <v>4394</v>
      </c>
      <c r="C243" s="16" t="str">
        <f t="shared" si="3"/>
        <v xml:space="preserve"> 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ht="12.5">
      <c r="A244" s="16" t="s">
        <v>4394</v>
      </c>
      <c r="B244" s="16" t="s">
        <v>4394</v>
      </c>
      <c r="C244" s="16" t="str">
        <f t="shared" si="3"/>
        <v xml:space="preserve"> 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ht="12.5">
      <c r="A245" s="16" t="s">
        <v>4394</v>
      </c>
      <c r="B245" s="16" t="s">
        <v>4394</v>
      </c>
      <c r="C245" s="16" t="str">
        <f t="shared" si="3"/>
        <v xml:space="preserve"> 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ht="12.5">
      <c r="A246" s="16" t="s">
        <v>4394</v>
      </c>
      <c r="B246" s="16" t="s">
        <v>4394</v>
      </c>
      <c r="C246" s="16" t="str">
        <f t="shared" si="3"/>
        <v xml:space="preserve"> 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ht="12.5">
      <c r="A247" s="16" t="s">
        <v>4394</v>
      </c>
      <c r="B247" s="16" t="s">
        <v>4394</v>
      </c>
      <c r="C247" s="16" t="str">
        <f t="shared" si="3"/>
        <v xml:space="preserve"> 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ht="12.5">
      <c r="A248" s="16" t="s">
        <v>4394</v>
      </c>
      <c r="B248" s="16" t="s">
        <v>4394</v>
      </c>
      <c r="C248" s="16" t="str">
        <f t="shared" si="3"/>
        <v xml:space="preserve"> 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ht="12.5">
      <c r="A249" s="16" t="s">
        <v>4394</v>
      </c>
      <c r="B249" s="16" t="s">
        <v>4394</v>
      </c>
      <c r="C249" s="16" t="str">
        <f t="shared" si="3"/>
        <v xml:space="preserve"> 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ht="12.5">
      <c r="A250" s="16" t="s">
        <v>4394</v>
      </c>
      <c r="B250" s="16" t="s">
        <v>4394</v>
      </c>
      <c r="C250" s="16" t="str">
        <f t="shared" si="3"/>
        <v xml:space="preserve"> 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ht="12.5">
      <c r="A251" s="16" t="s">
        <v>4394</v>
      </c>
      <c r="B251" s="16" t="s">
        <v>4394</v>
      </c>
      <c r="C251" s="16" t="str">
        <f t="shared" si="3"/>
        <v xml:space="preserve"> 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ht="12.5">
      <c r="A252" s="16" t="s">
        <v>4394</v>
      </c>
      <c r="B252" s="16" t="s">
        <v>4394</v>
      </c>
      <c r="C252" s="16" t="str">
        <f t="shared" si="3"/>
        <v xml:space="preserve"> 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ht="12.5">
      <c r="A253" s="16" t="s">
        <v>4394</v>
      </c>
      <c r="B253" s="16" t="s">
        <v>4394</v>
      </c>
      <c r="C253" s="16" t="str">
        <f t="shared" si="3"/>
        <v xml:space="preserve"> 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ht="12.5">
      <c r="A254" s="16" t="s">
        <v>4394</v>
      </c>
      <c r="B254" s="16" t="s">
        <v>4394</v>
      </c>
      <c r="C254" s="16" t="str">
        <f t="shared" si="3"/>
        <v xml:space="preserve"> 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ht="12.5">
      <c r="A255" s="16" t="s">
        <v>4394</v>
      </c>
      <c r="B255" s="16" t="s">
        <v>4394</v>
      </c>
      <c r="C255" s="16" t="str">
        <f t="shared" si="3"/>
        <v xml:space="preserve"> 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ht="12.5">
      <c r="A256" s="16" t="s">
        <v>4394</v>
      </c>
      <c r="B256" s="16" t="s">
        <v>4394</v>
      </c>
      <c r="C256" s="16" t="str">
        <f t="shared" si="3"/>
        <v xml:space="preserve"> 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ht="12.5">
      <c r="A257" s="16" t="s">
        <v>4394</v>
      </c>
      <c r="B257" s="16" t="s">
        <v>4394</v>
      </c>
      <c r="C257" s="16" t="str">
        <f t="shared" si="3"/>
        <v xml:space="preserve"> 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ht="12.5">
      <c r="A258" s="16" t="s">
        <v>4394</v>
      </c>
      <c r="B258" s="16" t="s">
        <v>4394</v>
      </c>
      <c r="C258" s="16" t="str">
        <f t="shared" ref="C258:C321" si="4">_xlfn.CONCAT(A258," ",B258)</f>
        <v xml:space="preserve"> 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ht="12.5">
      <c r="A259" s="16" t="s">
        <v>4394</v>
      </c>
      <c r="B259" s="16" t="s">
        <v>4394</v>
      </c>
      <c r="C259" s="16" t="str">
        <f t="shared" si="4"/>
        <v xml:space="preserve"> 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ht="12.5">
      <c r="A260" s="16" t="s">
        <v>4394</v>
      </c>
      <c r="B260" s="16" t="s">
        <v>4394</v>
      </c>
      <c r="C260" s="16" t="str">
        <f t="shared" si="4"/>
        <v xml:space="preserve"> 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ht="12.5">
      <c r="A261" s="16" t="s">
        <v>4394</v>
      </c>
      <c r="B261" s="16" t="s">
        <v>4394</v>
      </c>
      <c r="C261" s="16" t="str">
        <f t="shared" si="4"/>
        <v xml:space="preserve"> 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ht="12.5">
      <c r="A262" s="16" t="s">
        <v>4394</v>
      </c>
      <c r="B262" s="16" t="s">
        <v>4394</v>
      </c>
      <c r="C262" s="16" t="str">
        <f t="shared" si="4"/>
        <v xml:space="preserve"> 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ht="12.5">
      <c r="A263" s="16" t="s">
        <v>4394</v>
      </c>
      <c r="B263" s="16" t="s">
        <v>4394</v>
      </c>
      <c r="C263" s="16" t="str">
        <f t="shared" si="4"/>
        <v xml:space="preserve"> 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ht="12.5">
      <c r="A264" s="16" t="s">
        <v>4394</v>
      </c>
      <c r="B264" s="16" t="s">
        <v>4394</v>
      </c>
      <c r="C264" s="16" t="str">
        <f t="shared" si="4"/>
        <v xml:space="preserve"> 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ht="12.5">
      <c r="A265" s="16" t="s">
        <v>4394</v>
      </c>
      <c r="B265" s="16" t="s">
        <v>4394</v>
      </c>
      <c r="C265" s="16" t="str">
        <f t="shared" si="4"/>
        <v xml:space="preserve"> 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ht="12.5">
      <c r="A266" s="16" t="s">
        <v>4394</v>
      </c>
      <c r="B266" s="16" t="s">
        <v>4394</v>
      </c>
      <c r="C266" s="16" t="str">
        <f t="shared" si="4"/>
        <v xml:space="preserve"> 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ht="12.5">
      <c r="A267" s="16" t="s">
        <v>4394</v>
      </c>
      <c r="B267" s="16" t="s">
        <v>4394</v>
      </c>
      <c r="C267" s="16" t="str">
        <f t="shared" si="4"/>
        <v xml:space="preserve"> 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ht="12.5">
      <c r="A268" s="16" t="s">
        <v>4394</v>
      </c>
      <c r="B268" s="16" t="s">
        <v>4394</v>
      </c>
      <c r="C268" s="16" t="str">
        <f t="shared" si="4"/>
        <v xml:space="preserve"> 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ht="12.5">
      <c r="A269" s="16" t="s">
        <v>4394</v>
      </c>
      <c r="B269" s="16" t="s">
        <v>4394</v>
      </c>
      <c r="C269" s="16" t="str">
        <f t="shared" si="4"/>
        <v xml:space="preserve"> 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ht="12.5">
      <c r="A270" s="16" t="s">
        <v>4394</v>
      </c>
      <c r="B270" s="16" t="s">
        <v>4394</v>
      </c>
      <c r="C270" s="16" t="str">
        <f t="shared" si="4"/>
        <v xml:space="preserve"> 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ht="12.5">
      <c r="A271" s="16" t="s">
        <v>4394</v>
      </c>
      <c r="B271" s="16" t="s">
        <v>4394</v>
      </c>
      <c r="C271" s="16" t="str">
        <f t="shared" si="4"/>
        <v xml:space="preserve"> 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ht="12.5">
      <c r="A272" s="16" t="s">
        <v>4394</v>
      </c>
      <c r="B272" s="16" t="s">
        <v>4394</v>
      </c>
      <c r="C272" s="16" t="str">
        <f t="shared" si="4"/>
        <v xml:space="preserve"> 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ht="12.5">
      <c r="A273" s="16" t="s">
        <v>4394</v>
      </c>
      <c r="B273" s="16" t="s">
        <v>4394</v>
      </c>
      <c r="C273" s="16" t="str">
        <f t="shared" si="4"/>
        <v xml:space="preserve"> 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ht="12.5">
      <c r="A274" s="16" t="s">
        <v>4394</v>
      </c>
      <c r="B274" s="16" t="s">
        <v>4394</v>
      </c>
      <c r="C274" s="16" t="str">
        <f t="shared" si="4"/>
        <v xml:space="preserve"> 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ht="12.5">
      <c r="A275" s="16" t="s">
        <v>4394</v>
      </c>
      <c r="B275" s="16" t="s">
        <v>4394</v>
      </c>
      <c r="C275" s="16" t="str">
        <f t="shared" si="4"/>
        <v xml:space="preserve"> 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ht="12.5">
      <c r="A276" s="16" t="s">
        <v>4394</v>
      </c>
      <c r="B276" s="16" t="s">
        <v>4394</v>
      </c>
      <c r="C276" s="16" t="str">
        <f t="shared" si="4"/>
        <v xml:space="preserve"> 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ht="12.5">
      <c r="A277" s="16" t="s">
        <v>4394</v>
      </c>
      <c r="B277" s="16" t="s">
        <v>4394</v>
      </c>
      <c r="C277" s="16" t="str">
        <f t="shared" si="4"/>
        <v xml:space="preserve"> 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ht="12.5">
      <c r="A278" s="16" t="s">
        <v>4394</v>
      </c>
      <c r="B278" s="16" t="s">
        <v>4394</v>
      </c>
      <c r="C278" s="16" t="str">
        <f t="shared" si="4"/>
        <v xml:space="preserve"> 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ht="12.5">
      <c r="A279" s="16" t="s">
        <v>4394</v>
      </c>
      <c r="B279" s="16" t="s">
        <v>4394</v>
      </c>
      <c r="C279" s="16" t="str">
        <f t="shared" si="4"/>
        <v xml:space="preserve"> 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ht="12.5">
      <c r="A280" s="16" t="s">
        <v>4394</v>
      </c>
      <c r="B280" s="16" t="s">
        <v>4394</v>
      </c>
      <c r="C280" s="16" t="str">
        <f t="shared" si="4"/>
        <v xml:space="preserve"> 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ht="12.5">
      <c r="A281" s="16" t="s">
        <v>4394</v>
      </c>
      <c r="B281" s="16" t="s">
        <v>4394</v>
      </c>
      <c r="C281" s="16" t="str">
        <f t="shared" si="4"/>
        <v xml:space="preserve"> 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ht="12.5">
      <c r="A282" s="16" t="s">
        <v>4394</v>
      </c>
      <c r="B282" s="16" t="s">
        <v>4394</v>
      </c>
      <c r="C282" s="16" t="str">
        <f t="shared" si="4"/>
        <v xml:space="preserve"> 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ht="12.5">
      <c r="A283" s="16" t="s">
        <v>4394</v>
      </c>
      <c r="B283" s="16" t="s">
        <v>4394</v>
      </c>
      <c r="C283" s="16" t="str">
        <f t="shared" si="4"/>
        <v xml:space="preserve"> 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ht="12.5">
      <c r="A284" s="16" t="s">
        <v>4394</v>
      </c>
      <c r="B284" s="16" t="s">
        <v>4394</v>
      </c>
      <c r="C284" s="16" t="str">
        <f t="shared" si="4"/>
        <v xml:space="preserve"> 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ht="12.5">
      <c r="A285" s="16" t="s">
        <v>4394</v>
      </c>
      <c r="B285" s="16" t="s">
        <v>4394</v>
      </c>
      <c r="C285" s="16" t="str">
        <f t="shared" si="4"/>
        <v xml:space="preserve"> 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ht="12.5">
      <c r="A286" s="16" t="s">
        <v>4394</v>
      </c>
      <c r="B286" s="16" t="s">
        <v>4394</v>
      </c>
      <c r="C286" s="16" t="str">
        <f t="shared" si="4"/>
        <v xml:space="preserve"> 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ht="12.5">
      <c r="A287" s="16" t="s">
        <v>4394</v>
      </c>
      <c r="B287" s="16" t="s">
        <v>4394</v>
      </c>
      <c r="C287" s="16" t="str">
        <f t="shared" si="4"/>
        <v xml:space="preserve"> 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ht="12.5">
      <c r="A288" s="16" t="s">
        <v>4394</v>
      </c>
      <c r="B288" s="16" t="s">
        <v>4394</v>
      </c>
      <c r="C288" s="16" t="str">
        <f t="shared" si="4"/>
        <v xml:space="preserve"> 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ht="12.5">
      <c r="A289" s="16" t="s">
        <v>4394</v>
      </c>
      <c r="B289" s="16" t="s">
        <v>4394</v>
      </c>
      <c r="C289" s="16" t="str">
        <f t="shared" si="4"/>
        <v xml:space="preserve"> 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ht="12.5">
      <c r="A290" s="16" t="s">
        <v>4394</v>
      </c>
      <c r="B290" s="16" t="s">
        <v>4394</v>
      </c>
      <c r="C290" s="16" t="str">
        <f t="shared" si="4"/>
        <v xml:space="preserve"> 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ht="12.5">
      <c r="A291" s="16" t="s">
        <v>4394</v>
      </c>
      <c r="B291" s="16" t="s">
        <v>4394</v>
      </c>
      <c r="C291" s="16" t="str">
        <f t="shared" si="4"/>
        <v xml:space="preserve"> 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ht="12.5">
      <c r="A292" s="16" t="s">
        <v>4394</v>
      </c>
      <c r="B292" s="16" t="s">
        <v>4394</v>
      </c>
      <c r="C292" s="16" t="str">
        <f t="shared" si="4"/>
        <v xml:space="preserve"> 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ht="12.5">
      <c r="A293" s="16" t="s">
        <v>4394</v>
      </c>
      <c r="B293" s="16" t="s">
        <v>4394</v>
      </c>
      <c r="C293" s="16" t="str">
        <f t="shared" si="4"/>
        <v xml:space="preserve"> 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ht="12.5">
      <c r="A294" s="16" t="s">
        <v>4394</v>
      </c>
      <c r="B294" s="16" t="s">
        <v>4394</v>
      </c>
      <c r="C294" s="16" t="str">
        <f t="shared" si="4"/>
        <v xml:space="preserve"> 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ht="12.5">
      <c r="A295" s="16" t="s">
        <v>4394</v>
      </c>
      <c r="B295" s="16" t="s">
        <v>4394</v>
      </c>
      <c r="C295" s="16" t="str">
        <f t="shared" si="4"/>
        <v xml:space="preserve"> 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ht="12.5">
      <c r="A296" s="16" t="s">
        <v>4394</v>
      </c>
      <c r="B296" s="16" t="s">
        <v>4394</v>
      </c>
      <c r="C296" s="16" t="str">
        <f t="shared" si="4"/>
        <v xml:space="preserve"> 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ht="12.5">
      <c r="A297" s="16" t="s">
        <v>4394</v>
      </c>
      <c r="B297" s="16" t="s">
        <v>4394</v>
      </c>
      <c r="C297" s="16" t="str">
        <f t="shared" si="4"/>
        <v xml:space="preserve"> 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t="12.5">
      <c r="A298" s="16" t="s">
        <v>4394</v>
      </c>
      <c r="B298" s="16" t="s">
        <v>4394</v>
      </c>
      <c r="C298" s="16" t="str">
        <f t="shared" si="4"/>
        <v xml:space="preserve"> 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ht="12.5">
      <c r="A299" s="16" t="s">
        <v>4394</v>
      </c>
      <c r="B299" s="16" t="s">
        <v>4394</v>
      </c>
      <c r="C299" s="16" t="str">
        <f t="shared" si="4"/>
        <v xml:space="preserve"> 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ht="12.5">
      <c r="A300" s="16" t="s">
        <v>4394</v>
      </c>
      <c r="B300" s="16" t="s">
        <v>4394</v>
      </c>
      <c r="C300" s="16" t="str">
        <f t="shared" si="4"/>
        <v xml:space="preserve"> 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ht="12.5">
      <c r="A301" s="16" t="s">
        <v>4394</v>
      </c>
      <c r="B301" s="16" t="s">
        <v>4394</v>
      </c>
      <c r="C301" s="16" t="str">
        <f t="shared" si="4"/>
        <v xml:space="preserve"> 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ht="12.5">
      <c r="A302" s="16" t="s">
        <v>4394</v>
      </c>
      <c r="B302" s="16" t="s">
        <v>4394</v>
      </c>
      <c r="C302" s="16" t="str">
        <f t="shared" si="4"/>
        <v xml:space="preserve"> 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ht="12.5">
      <c r="A303" s="16" t="s">
        <v>4394</v>
      </c>
      <c r="B303" s="16" t="s">
        <v>4394</v>
      </c>
      <c r="C303" s="16" t="str">
        <f t="shared" si="4"/>
        <v xml:space="preserve"> 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ht="12.5">
      <c r="A304" s="16" t="s">
        <v>4394</v>
      </c>
      <c r="B304" s="16" t="s">
        <v>4394</v>
      </c>
      <c r="C304" s="16" t="str">
        <f t="shared" si="4"/>
        <v xml:space="preserve"> 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ht="12.5">
      <c r="A305" s="16" t="s">
        <v>4394</v>
      </c>
      <c r="B305" s="16" t="s">
        <v>4394</v>
      </c>
      <c r="C305" s="16" t="str">
        <f t="shared" si="4"/>
        <v xml:space="preserve"> 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ht="12.5">
      <c r="A306" s="16" t="s">
        <v>4394</v>
      </c>
      <c r="B306" s="16" t="s">
        <v>4394</v>
      </c>
      <c r="C306" s="16" t="str">
        <f t="shared" si="4"/>
        <v xml:space="preserve"> 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ht="12.5">
      <c r="A307" s="16" t="s">
        <v>4394</v>
      </c>
      <c r="B307" s="16" t="s">
        <v>4394</v>
      </c>
      <c r="C307" s="16" t="str">
        <f t="shared" si="4"/>
        <v xml:space="preserve"> 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ht="12.5">
      <c r="A308" s="16" t="s">
        <v>4394</v>
      </c>
      <c r="B308" s="16" t="s">
        <v>4394</v>
      </c>
      <c r="C308" s="16" t="str">
        <f t="shared" si="4"/>
        <v xml:space="preserve"> 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ht="12.5">
      <c r="A309" s="16" t="s">
        <v>4394</v>
      </c>
      <c r="B309" s="16" t="s">
        <v>4394</v>
      </c>
      <c r="C309" s="16" t="str">
        <f t="shared" si="4"/>
        <v xml:space="preserve"> 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ht="12.5">
      <c r="A310" s="16" t="s">
        <v>4394</v>
      </c>
      <c r="B310" s="16" t="s">
        <v>4394</v>
      </c>
      <c r="C310" s="16" t="str">
        <f t="shared" si="4"/>
        <v xml:space="preserve"> 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ht="12.5">
      <c r="A311" s="16" t="s">
        <v>4394</v>
      </c>
      <c r="B311" s="16" t="s">
        <v>4394</v>
      </c>
      <c r="C311" s="16" t="str">
        <f t="shared" si="4"/>
        <v xml:space="preserve"> 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ht="12.5">
      <c r="A312" s="16" t="s">
        <v>4394</v>
      </c>
      <c r="B312" s="16" t="s">
        <v>4394</v>
      </c>
      <c r="C312" s="16" t="str">
        <f t="shared" si="4"/>
        <v xml:space="preserve"> 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ht="12.5">
      <c r="A313" s="16" t="s">
        <v>4394</v>
      </c>
      <c r="B313" s="16" t="s">
        <v>4394</v>
      </c>
      <c r="C313" s="16" t="str">
        <f t="shared" si="4"/>
        <v xml:space="preserve"> 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ht="12.5">
      <c r="A314" s="16" t="s">
        <v>4394</v>
      </c>
      <c r="B314" s="16" t="s">
        <v>4394</v>
      </c>
      <c r="C314" s="16" t="str">
        <f t="shared" si="4"/>
        <v xml:space="preserve"> 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ht="12.5">
      <c r="A315" s="16" t="s">
        <v>4394</v>
      </c>
      <c r="B315" s="16" t="s">
        <v>4394</v>
      </c>
      <c r="C315" s="16" t="str">
        <f t="shared" si="4"/>
        <v xml:space="preserve"> 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ht="12.5">
      <c r="A316" s="16" t="s">
        <v>4394</v>
      </c>
      <c r="B316" s="16" t="s">
        <v>4394</v>
      </c>
      <c r="C316" s="16" t="str">
        <f t="shared" si="4"/>
        <v xml:space="preserve"> 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ht="12.5">
      <c r="A317" s="16" t="s">
        <v>4394</v>
      </c>
      <c r="B317" s="16" t="s">
        <v>4394</v>
      </c>
      <c r="C317" s="16" t="str">
        <f t="shared" si="4"/>
        <v xml:space="preserve"> 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ht="12.5">
      <c r="A318" s="16" t="s">
        <v>4394</v>
      </c>
      <c r="B318" s="16" t="s">
        <v>4394</v>
      </c>
      <c r="C318" s="16" t="str">
        <f t="shared" si="4"/>
        <v xml:space="preserve"> 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ht="12.5">
      <c r="A319" s="16" t="s">
        <v>4394</v>
      </c>
      <c r="B319" s="16" t="s">
        <v>4394</v>
      </c>
      <c r="C319" s="16" t="str">
        <f t="shared" si="4"/>
        <v xml:space="preserve"> 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ht="12.5">
      <c r="A320" s="16" t="s">
        <v>4394</v>
      </c>
      <c r="B320" s="16" t="s">
        <v>4394</v>
      </c>
      <c r="C320" s="16" t="str">
        <f t="shared" si="4"/>
        <v xml:space="preserve"> 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ht="12.5">
      <c r="A321" s="16" t="s">
        <v>4394</v>
      </c>
      <c r="B321" s="16" t="s">
        <v>4394</v>
      </c>
      <c r="C321" s="16" t="str">
        <f t="shared" si="4"/>
        <v xml:space="preserve"> 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ht="12.5">
      <c r="A322" s="16" t="s">
        <v>4394</v>
      </c>
      <c r="B322" s="16" t="s">
        <v>4394</v>
      </c>
      <c r="C322" s="16" t="str">
        <f t="shared" ref="C322:C385" si="5">_xlfn.CONCAT(A322," ",B322)</f>
        <v xml:space="preserve"> 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ht="12.5">
      <c r="A323" s="16" t="s">
        <v>4394</v>
      </c>
      <c r="B323" s="16" t="s">
        <v>4394</v>
      </c>
      <c r="C323" s="16" t="str">
        <f t="shared" si="5"/>
        <v xml:space="preserve"> 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ht="12.5">
      <c r="A324" s="16" t="s">
        <v>4394</v>
      </c>
      <c r="B324" s="16" t="s">
        <v>4394</v>
      </c>
      <c r="C324" s="16" t="str">
        <f t="shared" si="5"/>
        <v xml:space="preserve"> 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ht="12.5">
      <c r="A325" s="16" t="s">
        <v>4394</v>
      </c>
      <c r="B325" s="16" t="s">
        <v>4394</v>
      </c>
      <c r="C325" s="16" t="str">
        <f t="shared" si="5"/>
        <v xml:space="preserve"> 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ht="12.5">
      <c r="A326" s="16" t="s">
        <v>4394</v>
      </c>
      <c r="B326" s="16" t="s">
        <v>4394</v>
      </c>
      <c r="C326" s="16" t="str">
        <f t="shared" si="5"/>
        <v xml:space="preserve"> 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ht="12.5">
      <c r="A327" s="16" t="s">
        <v>4394</v>
      </c>
      <c r="B327" s="16" t="s">
        <v>4394</v>
      </c>
      <c r="C327" s="16" t="str">
        <f t="shared" si="5"/>
        <v xml:space="preserve"> 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t="12.5">
      <c r="A328" s="16" t="s">
        <v>4394</v>
      </c>
      <c r="B328" s="16" t="s">
        <v>4394</v>
      </c>
      <c r="C328" s="16" t="str">
        <f t="shared" si="5"/>
        <v xml:space="preserve"> 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ht="12.5">
      <c r="A329" s="16" t="s">
        <v>4394</v>
      </c>
      <c r="B329" s="16" t="s">
        <v>4394</v>
      </c>
      <c r="C329" s="16" t="str">
        <f t="shared" si="5"/>
        <v xml:space="preserve"> 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t="12.5">
      <c r="A330" s="16" t="s">
        <v>4394</v>
      </c>
      <c r="B330" s="16" t="s">
        <v>4394</v>
      </c>
      <c r="C330" s="16" t="str">
        <f t="shared" si="5"/>
        <v xml:space="preserve"> 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ht="12.5">
      <c r="A331" s="16" t="s">
        <v>4394</v>
      </c>
      <c r="B331" s="16" t="s">
        <v>4394</v>
      </c>
      <c r="C331" s="16" t="str">
        <f t="shared" si="5"/>
        <v xml:space="preserve"> 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ht="12.5">
      <c r="A332" s="16" t="s">
        <v>4394</v>
      </c>
      <c r="B332" s="16" t="s">
        <v>4394</v>
      </c>
      <c r="C332" s="16" t="str">
        <f t="shared" si="5"/>
        <v xml:space="preserve"> 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ht="12.5">
      <c r="A333" s="16" t="s">
        <v>4394</v>
      </c>
      <c r="B333" s="16" t="s">
        <v>4394</v>
      </c>
      <c r="C333" s="16" t="str">
        <f t="shared" si="5"/>
        <v xml:space="preserve"> 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ht="12.5">
      <c r="A334" s="16" t="s">
        <v>4394</v>
      </c>
      <c r="B334" s="16" t="s">
        <v>4394</v>
      </c>
      <c r="C334" s="16" t="str">
        <f t="shared" si="5"/>
        <v xml:space="preserve"> 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ht="12.5">
      <c r="A335" s="16" t="s">
        <v>4394</v>
      </c>
      <c r="B335" s="16" t="s">
        <v>4394</v>
      </c>
      <c r="C335" s="16" t="str">
        <f t="shared" si="5"/>
        <v xml:space="preserve"> 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ht="12.5">
      <c r="A336" s="16" t="s">
        <v>4394</v>
      </c>
      <c r="B336" s="16" t="s">
        <v>4394</v>
      </c>
      <c r="C336" s="16" t="str">
        <f t="shared" si="5"/>
        <v xml:space="preserve"> 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ht="12.5">
      <c r="A337" s="16" t="s">
        <v>4394</v>
      </c>
      <c r="B337" s="16" t="s">
        <v>4394</v>
      </c>
      <c r="C337" s="16" t="str">
        <f t="shared" si="5"/>
        <v xml:space="preserve"> 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ht="12.5">
      <c r="A338" s="16" t="s">
        <v>4394</v>
      </c>
      <c r="B338" s="16" t="s">
        <v>4394</v>
      </c>
      <c r="C338" s="16" t="str">
        <f t="shared" si="5"/>
        <v xml:space="preserve"> 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ht="12.5">
      <c r="A339" s="16" t="s">
        <v>4394</v>
      </c>
      <c r="B339" s="16" t="s">
        <v>4394</v>
      </c>
      <c r="C339" s="16" t="str">
        <f t="shared" si="5"/>
        <v xml:space="preserve"> 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t="12.5">
      <c r="A340" s="16" t="s">
        <v>4394</v>
      </c>
      <c r="B340" s="16" t="s">
        <v>4394</v>
      </c>
      <c r="C340" s="16" t="str">
        <f t="shared" si="5"/>
        <v xml:space="preserve"> 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ht="12.5">
      <c r="A341" s="16" t="s">
        <v>4394</v>
      </c>
      <c r="B341" s="16" t="s">
        <v>4394</v>
      </c>
      <c r="C341" s="16" t="str">
        <f t="shared" si="5"/>
        <v xml:space="preserve"> 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ht="12.5">
      <c r="A342" s="16" t="s">
        <v>4394</v>
      </c>
      <c r="B342" s="16" t="s">
        <v>4394</v>
      </c>
      <c r="C342" s="16" t="str">
        <f t="shared" si="5"/>
        <v xml:space="preserve"> 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ht="12.5">
      <c r="A343" s="16" t="s">
        <v>4394</v>
      </c>
      <c r="B343" s="16" t="s">
        <v>4394</v>
      </c>
      <c r="C343" s="16" t="str">
        <f t="shared" si="5"/>
        <v xml:space="preserve"> 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ht="12.5">
      <c r="A344" s="16" t="s">
        <v>4394</v>
      </c>
      <c r="B344" s="16" t="s">
        <v>4394</v>
      </c>
      <c r="C344" s="16" t="str">
        <f t="shared" si="5"/>
        <v xml:space="preserve"> 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ht="12.5">
      <c r="A345" s="16" t="s">
        <v>4394</v>
      </c>
      <c r="B345" s="16" t="s">
        <v>4394</v>
      </c>
      <c r="C345" s="16" t="str">
        <f t="shared" si="5"/>
        <v xml:space="preserve"> 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ht="12.5">
      <c r="A346" s="16" t="s">
        <v>4394</v>
      </c>
      <c r="B346" s="16" t="s">
        <v>4394</v>
      </c>
      <c r="C346" s="16" t="str">
        <f t="shared" si="5"/>
        <v xml:space="preserve"> 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ht="12.5">
      <c r="A347" s="16" t="s">
        <v>4394</v>
      </c>
      <c r="B347" s="16" t="s">
        <v>4394</v>
      </c>
      <c r="C347" s="16" t="str">
        <f t="shared" si="5"/>
        <v xml:space="preserve"> 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ht="12.5">
      <c r="A348" s="16" t="s">
        <v>4394</v>
      </c>
      <c r="B348" s="16" t="s">
        <v>4394</v>
      </c>
      <c r="C348" s="16" t="str">
        <f t="shared" si="5"/>
        <v xml:space="preserve"> 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ht="12.5">
      <c r="A349" s="16" t="s">
        <v>4394</v>
      </c>
      <c r="B349" s="16" t="s">
        <v>4394</v>
      </c>
      <c r="C349" s="16" t="str">
        <f t="shared" si="5"/>
        <v xml:space="preserve"> 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ht="12.5">
      <c r="A350" s="16" t="s">
        <v>4394</v>
      </c>
      <c r="B350" s="16" t="s">
        <v>4394</v>
      </c>
      <c r="C350" s="16" t="str">
        <f t="shared" si="5"/>
        <v xml:space="preserve"> 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ht="12.5">
      <c r="A351" s="16" t="s">
        <v>4394</v>
      </c>
      <c r="B351" s="16" t="s">
        <v>4394</v>
      </c>
      <c r="C351" s="16" t="str">
        <f t="shared" si="5"/>
        <v xml:space="preserve"> 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ht="12.5">
      <c r="A352" s="16" t="s">
        <v>4394</v>
      </c>
      <c r="B352" s="16" t="s">
        <v>4394</v>
      </c>
      <c r="C352" s="16" t="str">
        <f t="shared" si="5"/>
        <v xml:space="preserve"> 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ht="12.5">
      <c r="A353" s="16" t="s">
        <v>4394</v>
      </c>
      <c r="B353" s="16" t="s">
        <v>4394</v>
      </c>
      <c r="C353" s="16" t="str">
        <f t="shared" si="5"/>
        <v xml:space="preserve"> 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ht="12.5">
      <c r="A354" s="16" t="s">
        <v>4394</v>
      </c>
      <c r="B354" s="16" t="s">
        <v>4394</v>
      </c>
      <c r="C354" s="16" t="str">
        <f t="shared" si="5"/>
        <v xml:space="preserve"> 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ht="12.5">
      <c r="A355" s="16" t="s">
        <v>4394</v>
      </c>
      <c r="B355" s="16" t="s">
        <v>4394</v>
      </c>
      <c r="C355" s="16" t="str">
        <f t="shared" si="5"/>
        <v xml:space="preserve"> 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ht="12.5">
      <c r="A356" s="16" t="s">
        <v>4394</v>
      </c>
      <c r="B356" s="16" t="s">
        <v>4394</v>
      </c>
      <c r="C356" s="16" t="str">
        <f t="shared" si="5"/>
        <v xml:space="preserve"> 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ht="12.5">
      <c r="A357" s="16" t="s">
        <v>4394</v>
      </c>
      <c r="B357" s="16" t="s">
        <v>4394</v>
      </c>
      <c r="C357" s="16" t="str">
        <f t="shared" si="5"/>
        <v xml:space="preserve"> 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t="12.5">
      <c r="A358" s="16" t="s">
        <v>4394</v>
      </c>
      <c r="B358" s="16" t="s">
        <v>4394</v>
      </c>
      <c r="C358" s="16" t="str">
        <f t="shared" si="5"/>
        <v xml:space="preserve"> 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ht="12.5">
      <c r="A359" s="16" t="s">
        <v>4394</v>
      </c>
      <c r="B359" s="16" t="s">
        <v>4394</v>
      </c>
      <c r="C359" s="16" t="str">
        <f t="shared" si="5"/>
        <v xml:space="preserve"> 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ht="12.5">
      <c r="A360" s="16" t="s">
        <v>4394</v>
      </c>
      <c r="B360" s="16" t="s">
        <v>4394</v>
      </c>
      <c r="C360" s="16" t="str">
        <f t="shared" si="5"/>
        <v xml:space="preserve"> 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ht="12.5">
      <c r="A361" s="16" t="s">
        <v>4394</v>
      </c>
      <c r="B361" s="16" t="s">
        <v>4394</v>
      </c>
      <c r="C361" s="16" t="str">
        <f t="shared" si="5"/>
        <v xml:space="preserve"> 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t="12.5">
      <c r="A362" s="16" t="s">
        <v>4394</v>
      </c>
      <c r="B362" s="16" t="s">
        <v>4394</v>
      </c>
      <c r="C362" s="16" t="str">
        <f t="shared" si="5"/>
        <v xml:space="preserve"> 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ht="12.5">
      <c r="A363" s="16" t="s">
        <v>4394</v>
      </c>
      <c r="B363" s="16" t="s">
        <v>4394</v>
      </c>
      <c r="C363" s="16" t="str">
        <f t="shared" si="5"/>
        <v xml:space="preserve"> 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ht="12.5">
      <c r="A364" s="16" t="s">
        <v>4394</v>
      </c>
      <c r="B364" s="16" t="s">
        <v>4394</v>
      </c>
      <c r="C364" s="16" t="str">
        <f t="shared" si="5"/>
        <v xml:space="preserve"> 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ht="12.5">
      <c r="A365" s="16" t="s">
        <v>4394</v>
      </c>
      <c r="B365" s="16" t="s">
        <v>4394</v>
      </c>
      <c r="C365" s="16" t="str">
        <f t="shared" si="5"/>
        <v xml:space="preserve"> 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ht="12.5">
      <c r="A366" s="16" t="s">
        <v>4394</v>
      </c>
      <c r="B366" s="16" t="s">
        <v>4394</v>
      </c>
      <c r="C366" s="16" t="str">
        <f t="shared" si="5"/>
        <v xml:space="preserve"> 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ht="12.5">
      <c r="A367" s="16" t="s">
        <v>4394</v>
      </c>
      <c r="B367" s="16" t="s">
        <v>4394</v>
      </c>
      <c r="C367" s="16" t="str">
        <f t="shared" si="5"/>
        <v xml:space="preserve"> 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ht="12.5">
      <c r="A368" s="16" t="s">
        <v>4394</v>
      </c>
      <c r="B368" s="16" t="s">
        <v>4394</v>
      </c>
      <c r="C368" s="16" t="str">
        <f t="shared" si="5"/>
        <v xml:space="preserve"> 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ht="12.5">
      <c r="A369" s="16" t="s">
        <v>4394</v>
      </c>
      <c r="B369" s="16" t="s">
        <v>4394</v>
      </c>
      <c r="C369" s="16" t="str">
        <f t="shared" si="5"/>
        <v xml:space="preserve"> 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ht="12.5">
      <c r="A370" s="16" t="s">
        <v>4394</v>
      </c>
      <c r="B370" s="16" t="s">
        <v>4394</v>
      </c>
      <c r="C370" s="16" t="str">
        <f t="shared" si="5"/>
        <v xml:space="preserve"> 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ht="12.5">
      <c r="A371" s="16" t="s">
        <v>4394</v>
      </c>
      <c r="B371" s="16" t="s">
        <v>4394</v>
      </c>
      <c r="C371" s="16" t="str">
        <f t="shared" si="5"/>
        <v xml:space="preserve"> 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t="12.5">
      <c r="A372" s="16" t="s">
        <v>4394</v>
      </c>
      <c r="B372" s="16" t="s">
        <v>4394</v>
      </c>
      <c r="C372" s="16" t="str">
        <f t="shared" si="5"/>
        <v xml:space="preserve"> 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ht="12.5">
      <c r="A373" s="16" t="s">
        <v>4394</v>
      </c>
      <c r="B373" s="16" t="s">
        <v>4394</v>
      </c>
      <c r="C373" s="16" t="str">
        <f t="shared" si="5"/>
        <v xml:space="preserve"> 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ht="12.5">
      <c r="A374" s="16" t="s">
        <v>4394</v>
      </c>
      <c r="B374" s="16" t="s">
        <v>4394</v>
      </c>
      <c r="C374" s="16" t="str">
        <f t="shared" si="5"/>
        <v xml:space="preserve"> 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ht="12.5">
      <c r="A375" s="16" t="s">
        <v>4394</v>
      </c>
      <c r="B375" s="16" t="s">
        <v>4394</v>
      </c>
      <c r="C375" s="16" t="str">
        <f t="shared" si="5"/>
        <v xml:space="preserve"> 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ht="12.5">
      <c r="A376" s="16" t="s">
        <v>4394</v>
      </c>
      <c r="B376" s="16" t="s">
        <v>4394</v>
      </c>
      <c r="C376" s="16" t="str">
        <f t="shared" si="5"/>
        <v xml:space="preserve"> 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ht="12.5">
      <c r="A377" s="16" t="s">
        <v>4394</v>
      </c>
      <c r="B377" s="16" t="s">
        <v>4394</v>
      </c>
      <c r="C377" s="16" t="str">
        <f t="shared" si="5"/>
        <v xml:space="preserve"> 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ht="12.5">
      <c r="A378" s="16" t="s">
        <v>4394</v>
      </c>
      <c r="B378" s="16" t="s">
        <v>4394</v>
      </c>
      <c r="C378" s="16" t="str">
        <f t="shared" si="5"/>
        <v xml:space="preserve"> 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ht="12.5">
      <c r="A379" s="16" t="s">
        <v>4394</v>
      </c>
      <c r="B379" s="16" t="s">
        <v>4394</v>
      </c>
      <c r="C379" s="16" t="str">
        <f t="shared" si="5"/>
        <v xml:space="preserve"> 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ht="12.5">
      <c r="A380" s="16" t="s">
        <v>4394</v>
      </c>
      <c r="B380" s="16" t="s">
        <v>4394</v>
      </c>
      <c r="C380" s="16" t="str">
        <f t="shared" si="5"/>
        <v xml:space="preserve"> 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ht="12.5">
      <c r="A381" s="16" t="s">
        <v>4394</v>
      </c>
      <c r="B381" s="16" t="s">
        <v>4394</v>
      </c>
      <c r="C381" s="16" t="str">
        <f t="shared" si="5"/>
        <v xml:space="preserve"> 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ht="12.5">
      <c r="A382" s="16" t="s">
        <v>4394</v>
      </c>
      <c r="B382" s="16" t="s">
        <v>4394</v>
      </c>
      <c r="C382" s="16" t="str">
        <f t="shared" si="5"/>
        <v xml:space="preserve"> 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ht="12.5">
      <c r="A383" s="16" t="s">
        <v>4394</v>
      </c>
      <c r="B383" s="16" t="s">
        <v>4394</v>
      </c>
      <c r="C383" s="16" t="str">
        <f t="shared" si="5"/>
        <v xml:space="preserve"> 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ht="12.5">
      <c r="A384" s="16" t="s">
        <v>4394</v>
      </c>
      <c r="B384" s="16" t="s">
        <v>4394</v>
      </c>
      <c r="C384" s="16" t="str">
        <f t="shared" si="5"/>
        <v xml:space="preserve"> 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ht="12.5">
      <c r="A385" s="16" t="s">
        <v>4394</v>
      </c>
      <c r="B385" s="16" t="s">
        <v>4394</v>
      </c>
      <c r="C385" s="16" t="str">
        <f t="shared" si="5"/>
        <v xml:space="preserve"> 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ht="12.5">
      <c r="A386" s="16" t="s">
        <v>4394</v>
      </c>
      <c r="B386" s="16" t="s">
        <v>4394</v>
      </c>
      <c r="C386" s="16" t="str">
        <f t="shared" ref="C386:C449" si="6">_xlfn.CONCAT(A386," ",B386)</f>
        <v xml:space="preserve"> 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ht="12.5">
      <c r="A387" s="16" t="s">
        <v>4394</v>
      </c>
      <c r="B387" s="16" t="s">
        <v>4394</v>
      </c>
      <c r="C387" s="16" t="str">
        <f t="shared" si="6"/>
        <v xml:space="preserve"> 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t="12.5">
      <c r="A388" s="16" t="s">
        <v>4394</v>
      </c>
      <c r="B388" s="16" t="s">
        <v>4394</v>
      </c>
      <c r="C388" s="16" t="str">
        <f t="shared" si="6"/>
        <v xml:space="preserve"> 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ht="12.5">
      <c r="A389" s="16" t="s">
        <v>4394</v>
      </c>
      <c r="B389" s="16" t="s">
        <v>4394</v>
      </c>
      <c r="C389" s="16" t="str">
        <f t="shared" si="6"/>
        <v xml:space="preserve"> 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ht="12.5">
      <c r="A390" s="16" t="s">
        <v>4394</v>
      </c>
      <c r="B390" s="16" t="s">
        <v>4394</v>
      </c>
      <c r="C390" s="16" t="str">
        <f t="shared" si="6"/>
        <v xml:space="preserve"> 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ht="12.5">
      <c r="A391" s="16" t="s">
        <v>4394</v>
      </c>
      <c r="B391" s="16" t="s">
        <v>4394</v>
      </c>
      <c r="C391" s="16" t="str">
        <f t="shared" si="6"/>
        <v xml:space="preserve"> 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ht="12.5">
      <c r="A392" s="16" t="s">
        <v>4394</v>
      </c>
      <c r="B392" s="16" t="s">
        <v>4394</v>
      </c>
      <c r="C392" s="16" t="str">
        <f t="shared" si="6"/>
        <v xml:space="preserve"> 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ht="12.5">
      <c r="A393" s="16" t="s">
        <v>4394</v>
      </c>
      <c r="B393" s="16" t="s">
        <v>4394</v>
      </c>
      <c r="C393" s="16" t="str">
        <f t="shared" si="6"/>
        <v xml:space="preserve"> 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ht="12.5">
      <c r="A394" s="16" t="s">
        <v>4394</v>
      </c>
      <c r="B394" s="16" t="s">
        <v>4394</v>
      </c>
      <c r="C394" s="16" t="str">
        <f t="shared" si="6"/>
        <v xml:space="preserve"> 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ht="12.5">
      <c r="A395" s="16" t="s">
        <v>4394</v>
      </c>
      <c r="B395" s="16" t="s">
        <v>4394</v>
      </c>
      <c r="C395" s="16" t="str">
        <f t="shared" si="6"/>
        <v xml:space="preserve"> 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t="12.5">
      <c r="A396" s="16" t="s">
        <v>4394</v>
      </c>
      <c r="B396" s="16" t="s">
        <v>4394</v>
      </c>
      <c r="C396" s="16" t="str">
        <f t="shared" si="6"/>
        <v xml:space="preserve"> 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ht="12.5">
      <c r="A397" s="16" t="s">
        <v>4394</v>
      </c>
      <c r="B397" s="16" t="s">
        <v>4394</v>
      </c>
      <c r="C397" s="16" t="str">
        <f t="shared" si="6"/>
        <v xml:space="preserve"> 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ht="12.5">
      <c r="A398" s="16" t="s">
        <v>4394</v>
      </c>
      <c r="B398" s="16" t="s">
        <v>4394</v>
      </c>
      <c r="C398" s="16" t="str">
        <f t="shared" si="6"/>
        <v xml:space="preserve"> 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ht="12.5">
      <c r="A399" s="16" t="s">
        <v>4394</v>
      </c>
      <c r="B399" s="16" t="s">
        <v>4394</v>
      </c>
      <c r="C399" s="16" t="str">
        <f t="shared" si="6"/>
        <v xml:space="preserve"> 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ht="12.5">
      <c r="A400" s="16" t="s">
        <v>4394</v>
      </c>
      <c r="B400" s="16" t="s">
        <v>4394</v>
      </c>
      <c r="C400" s="16" t="str">
        <f t="shared" si="6"/>
        <v xml:space="preserve"> 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ht="12.5">
      <c r="A401" s="16" t="s">
        <v>4394</v>
      </c>
      <c r="B401" s="16" t="s">
        <v>4394</v>
      </c>
      <c r="C401" s="16" t="str">
        <f t="shared" si="6"/>
        <v xml:space="preserve"> 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ht="12.5">
      <c r="A402" s="16" t="s">
        <v>4394</v>
      </c>
      <c r="B402" s="16" t="s">
        <v>4394</v>
      </c>
      <c r="C402" s="16" t="str">
        <f t="shared" si="6"/>
        <v xml:space="preserve"> 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ht="12.5">
      <c r="A403" s="16" t="s">
        <v>4394</v>
      </c>
      <c r="B403" s="16" t="s">
        <v>4394</v>
      </c>
      <c r="C403" s="16" t="str">
        <f t="shared" si="6"/>
        <v xml:space="preserve"> 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ht="12.5">
      <c r="A404" s="16" t="s">
        <v>4394</v>
      </c>
      <c r="B404" s="16" t="s">
        <v>4394</v>
      </c>
      <c r="C404" s="16" t="str">
        <f t="shared" si="6"/>
        <v xml:space="preserve"> 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ht="12.5">
      <c r="A405" s="16" t="s">
        <v>4394</v>
      </c>
      <c r="B405" s="16" t="s">
        <v>4394</v>
      </c>
      <c r="C405" s="16" t="str">
        <f t="shared" si="6"/>
        <v xml:space="preserve"> 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ht="12.5">
      <c r="A406" s="16" t="s">
        <v>4394</v>
      </c>
      <c r="B406" s="16" t="s">
        <v>4394</v>
      </c>
      <c r="C406" s="16" t="str">
        <f t="shared" si="6"/>
        <v xml:space="preserve"> 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ht="12.5">
      <c r="A407" s="16" t="s">
        <v>4394</v>
      </c>
      <c r="B407" s="16" t="s">
        <v>4394</v>
      </c>
      <c r="C407" s="16" t="str">
        <f t="shared" si="6"/>
        <v xml:space="preserve"> 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ht="12.5">
      <c r="A408" s="16" t="s">
        <v>4394</v>
      </c>
      <c r="B408" s="16" t="s">
        <v>4394</v>
      </c>
      <c r="C408" s="16" t="str">
        <f t="shared" si="6"/>
        <v xml:space="preserve"> 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ht="12.5">
      <c r="A409" s="16" t="s">
        <v>4394</v>
      </c>
      <c r="B409" s="16" t="s">
        <v>4394</v>
      </c>
      <c r="C409" s="16" t="str">
        <f t="shared" si="6"/>
        <v xml:space="preserve"> 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ht="12.5">
      <c r="A410" s="16" t="s">
        <v>4394</v>
      </c>
      <c r="B410" s="16" t="s">
        <v>4394</v>
      </c>
      <c r="C410" s="16" t="str">
        <f t="shared" si="6"/>
        <v xml:space="preserve"> 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ht="12.5">
      <c r="A411" s="16" t="s">
        <v>4394</v>
      </c>
      <c r="B411" s="16" t="s">
        <v>4394</v>
      </c>
      <c r="C411" s="16" t="str">
        <f t="shared" si="6"/>
        <v xml:space="preserve"> 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ht="12.5">
      <c r="A412" s="16" t="s">
        <v>4394</v>
      </c>
      <c r="B412" s="16" t="s">
        <v>4394</v>
      </c>
      <c r="C412" s="16" t="str">
        <f t="shared" si="6"/>
        <v xml:space="preserve"> 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ht="12.5">
      <c r="A413" s="16" t="s">
        <v>4394</v>
      </c>
      <c r="B413" s="16" t="s">
        <v>4394</v>
      </c>
      <c r="C413" s="16" t="str">
        <f t="shared" si="6"/>
        <v xml:space="preserve"> 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ht="12.5">
      <c r="A414" s="16" t="s">
        <v>4394</v>
      </c>
      <c r="B414" s="16" t="s">
        <v>4394</v>
      </c>
      <c r="C414" s="16" t="str">
        <f t="shared" si="6"/>
        <v xml:space="preserve"> 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ht="12.5">
      <c r="A415" s="16" t="s">
        <v>4394</v>
      </c>
      <c r="B415" s="16" t="s">
        <v>4394</v>
      </c>
      <c r="C415" s="16" t="str">
        <f t="shared" si="6"/>
        <v xml:space="preserve"> 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ht="12.5">
      <c r="A416" s="16" t="s">
        <v>4394</v>
      </c>
      <c r="B416" s="16" t="s">
        <v>4394</v>
      </c>
      <c r="C416" s="16" t="str">
        <f t="shared" si="6"/>
        <v xml:space="preserve"> 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ht="12.5">
      <c r="A417" s="16" t="s">
        <v>4394</v>
      </c>
      <c r="B417" s="16" t="s">
        <v>4394</v>
      </c>
      <c r="C417" s="16" t="str">
        <f t="shared" si="6"/>
        <v xml:space="preserve"> 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ht="12.5">
      <c r="A418" s="16" t="s">
        <v>4394</v>
      </c>
      <c r="B418" s="16" t="s">
        <v>4394</v>
      </c>
      <c r="C418" s="16" t="str">
        <f t="shared" si="6"/>
        <v xml:space="preserve"> 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ht="12.5">
      <c r="A419" s="16" t="s">
        <v>4394</v>
      </c>
      <c r="B419" s="16" t="s">
        <v>4394</v>
      </c>
      <c r="C419" s="16" t="str">
        <f t="shared" si="6"/>
        <v xml:space="preserve"> 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ht="12.5">
      <c r="A420" s="16" t="s">
        <v>4394</v>
      </c>
      <c r="B420" s="16" t="s">
        <v>4394</v>
      </c>
      <c r="C420" s="16" t="str">
        <f t="shared" si="6"/>
        <v xml:space="preserve"> 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ht="12.5">
      <c r="A421" s="16" t="s">
        <v>4394</v>
      </c>
      <c r="B421" s="16" t="s">
        <v>4394</v>
      </c>
      <c r="C421" s="16" t="str">
        <f t="shared" si="6"/>
        <v xml:space="preserve"> 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ht="12.5">
      <c r="A422" s="16" t="s">
        <v>4394</v>
      </c>
      <c r="B422" s="16" t="s">
        <v>4394</v>
      </c>
      <c r="C422" s="16" t="str">
        <f t="shared" si="6"/>
        <v xml:space="preserve"> 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ht="12.5">
      <c r="A423" s="16" t="s">
        <v>4394</v>
      </c>
      <c r="B423" s="16" t="s">
        <v>4394</v>
      </c>
      <c r="C423" s="16" t="str">
        <f t="shared" si="6"/>
        <v xml:space="preserve"> 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ht="12.5">
      <c r="A424" s="16" t="s">
        <v>4394</v>
      </c>
      <c r="B424" s="16" t="s">
        <v>4394</v>
      </c>
      <c r="C424" s="16" t="str">
        <f t="shared" si="6"/>
        <v xml:space="preserve"> 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ht="12.5">
      <c r="A425" s="16" t="s">
        <v>4394</v>
      </c>
      <c r="B425" s="16" t="s">
        <v>4394</v>
      </c>
      <c r="C425" s="16" t="str">
        <f t="shared" si="6"/>
        <v xml:space="preserve"> 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ht="12.5">
      <c r="A426" s="16" t="s">
        <v>4394</v>
      </c>
      <c r="B426" s="16" t="s">
        <v>4394</v>
      </c>
      <c r="C426" s="16" t="str">
        <f t="shared" si="6"/>
        <v xml:space="preserve"> 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ht="12.5">
      <c r="A427" s="16" t="s">
        <v>4394</v>
      </c>
      <c r="B427" s="16" t="s">
        <v>4394</v>
      </c>
      <c r="C427" s="16" t="str">
        <f t="shared" si="6"/>
        <v xml:space="preserve"> 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ht="12.5">
      <c r="A428" s="16" t="s">
        <v>4394</v>
      </c>
      <c r="B428" s="16" t="s">
        <v>4394</v>
      </c>
      <c r="C428" s="16" t="str">
        <f t="shared" si="6"/>
        <v xml:space="preserve"> 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ht="12.5">
      <c r="A429" s="16" t="s">
        <v>4394</v>
      </c>
      <c r="B429" s="16" t="s">
        <v>4394</v>
      </c>
      <c r="C429" s="16" t="str">
        <f t="shared" si="6"/>
        <v xml:space="preserve"> 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ht="12.5">
      <c r="A430" s="16" t="s">
        <v>4394</v>
      </c>
      <c r="B430" s="16" t="s">
        <v>4394</v>
      </c>
      <c r="C430" s="16" t="str">
        <f t="shared" si="6"/>
        <v xml:space="preserve"> 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ht="12.5">
      <c r="A431" s="16" t="s">
        <v>4394</v>
      </c>
      <c r="B431" s="16" t="s">
        <v>4394</v>
      </c>
      <c r="C431" s="16" t="str">
        <f t="shared" si="6"/>
        <v xml:space="preserve"> 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ht="12.5">
      <c r="A432" s="16" t="s">
        <v>4394</v>
      </c>
      <c r="B432" s="16" t="s">
        <v>4394</v>
      </c>
      <c r="C432" s="16" t="str">
        <f t="shared" si="6"/>
        <v xml:space="preserve"> 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ht="12.5">
      <c r="A433" s="16" t="s">
        <v>4394</v>
      </c>
      <c r="B433" s="16" t="s">
        <v>4394</v>
      </c>
      <c r="C433" s="16" t="str">
        <f t="shared" si="6"/>
        <v xml:space="preserve"> 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ht="12.5">
      <c r="A434" s="16" t="s">
        <v>4394</v>
      </c>
      <c r="B434" s="16" t="s">
        <v>4394</v>
      </c>
      <c r="C434" s="16" t="str">
        <f t="shared" si="6"/>
        <v xml:space="preserve"> 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ht="12.5">
      <c r="A435" s="16" t="s">
        <v>4394</v>
      </c>
      <c r="B435" s="16" t="s">
        <v>4394</v>
      </c>
      <c r="C435" s="16" t="str">
        <f t="shared" si="6"/>
        <v xml:space="preserve"> 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ht="12.5">
      <c r="A436" s="16" t="s">
        <v>4394</v>
      </c>
      <c r="B436" s="16" t="s">
        <v>4394</v>
      </c>
      <c r="C436" s="16" t="str">
        <f t="shared" si="6"/>
        <v xml:space="preserve"> 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ht="12.5">
      <c r="A437" s="16" t="s">
        <v>4394</v>
      </c>
      <c r="B437" s="16" t="s">
        <v>4394</v>
      </c>
      <c r="C437" s="16" t="str">
        <f t="shared" si="6"/>
        <v xml:space="preserve"> 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ht="12.5">
      <c r="A438" s="16" t="s">
        <v>4394</v>
      </c>
      <c r="B438" s="16" t="s">
        <v>4394</v>
      </c>
      <c r="C438" s="16" t="str">
        <f t="shared" si="6"/>
        <v xml:space="preserve"> 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ht="12.5">
      <c r="A439" s="16" t="s">
        <v>4394</v>
      </c>
      <c r="B439" s="16" t="s">
        <v>4394</v>
      </c>
      <c r="C439" s="16" t="str">
        <f t="shared" si="6"/>
        <v xml:space="preserve"> 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ht="12.5">
      <c r="A440" s="16" t="s">
        <v>4394</v>
      </c>
      <c r="B440" s="16" t="s">
        <v>4394</v>
      </c>
      <c r="C440" s="16" t="str">
        <f t="shared" si="6"/>
        <v xml:space="preserve"> 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ht="12.5">
      <c r="A441" s="16" t="s">
        <v>4394</v>
      </c>
      <c r="B441" s="16" t="s">
        <v>4394</v>
      </c>
      <c r="C441" s="16" t="str">
        <f t="shared" si="6"/>
        <v xml:space="preserve"> 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ht="12.5">
      <c r="A442" s="16" t="s">
        <v>4394</v>
      </c>
      <c r="B442" s="16" t="s">
        <v>4394</v>
      </c>
      <c r="C442" s="16" t="str">
        <f t="shared" si="6"/>
        <v xml:space="preserve"> 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ht="12.5">
      <c r="A443" s="16" t="s">
        <v>4394</v>
      </c>
      <c r="B443" s="16" t="s">
        <v>4394</v>
      </c>
      <c r="C443" s="16" t="str">
        <f t="shared" si="6"/>
        <v xml:space="preserve"> 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ht="12.5">
      <c r="A444" s="16" t="s">
        <v>4394</v>
      </c>
      <c r="B444" s="16" t="s">
        <v>4394</v>
      </c>
      <c r="C444" s="16" t="str">
        <f t="shared" si="6"/>
        <v xml:space="preserve"> 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ht="12.5">
      <c r="A445" s="16" t="s">
        <v>4394</v>
      </c>
      <c r="B445" s="16" t="s">
        <v>4394</v>
      </c>
      <c r="C445" s="16" t="str">
        <f t="shared" si="6"/>
        <v xml:space="preserve"> 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ht="12.5">
      <c r="A446" s="16" t="s">
        <v>4394</v>
      </c>
      <c r="B446" s="16" t="s">
        <v>4394</v>
      </c>
      <c r="C446" s="16" t="str">
        <f t="shared" si="6"/>
        <v xml:space="preserve"> 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ht="12.5">
      <c r="A447" s="16" t="s">
        <v>4394</v>
      </c>
      <c r="B447" s="16" t="s">
        <v>4394</v>
      </c>
      <c r="C447" s="16" t="str">
        <f t="shared" si="6"/>
        <v xml:space="preserve"> 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ht="12.5">
      <c r="A448" s="16" t="s">
        <v>4394</v>
      </c>
      <c r="B448" s="16" t="s">
        <v>4394</v>
      </c>
      <c r="C448" s="16" t="str">
        <f t="shared" si="6"/>
        <v xml:space="preserve"> 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ht="12.5">
      <c r="A449" s="16" t="s">
        <v>4394</v>
      </c>
      <c r="B449" s="16" t="s">
        <v>4394</v>
      </c>
      <c r="C449" s="16" t="str">
        <f t="shared" si="6"/>
        <v xml:space="preserve"> 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ht="12.5">
      <c r="A450" s="16" t="s">
        <v>4394</v>
      </c>
      <c r="B450" s="16" t="s">
        <v>4394</v>
      </c>
      <c r="C450" s="16" t="str">
        <f t="shared" ref="C450:C513" si="7">_xlfn.CONCAT(A450," ",B450)</f>
        <v xml:space="preserve"> 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ht="12.5">
      <c r="A451" s="16" t="s">
        <v>4394</v>
      </c>
      <c r="B451" s="16" t="s">
        <v>4394</v>
      </c>
      <c r="C451" s="16" t="str">
        <f t="shared" si="7"/>
        <v xml:space="preserve"> 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ht="12.5">
      <c r="A452" s="16" t="s">
        <v>4394</v>
      </c>
      <c r="B452" s="16" t="s">
        <v>4394</v>
      </c>
      <c r="C452" s="16" t="str">
        <f t="shared" si="7"/>
        <v xml:space="preserve"> 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ht="12.5">
      <c r="A453" s="16" t="s">
        <v>4394</v>
      </c>
      <c r="B453" s="16" t="s">
        <v>4394</v>
      </c>
      <c r="C453" s="16" t="str">
        <f t="shared" si="7"/>
        <v xml:space="preserve"> 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ht="12.5">
      <c r="A454" s="16" t="s">
        <v>4394</v>
      </c>
      <c r="B454" s="16" t="s">
        <v>4394</v>
      </c>
      <c r="C454" s="16" t="str">
        <f t="shared" si="7"/>
        <v xml:space="preserve"> 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ht="12.5">
      <c r="A455" s="16" t="s">
        <v>4394</v>
      </c>
      <c r="B455" s="16" t="s">
        <v>4394</v>
      </c>
      <c r="C455" s="16" t="str">
        <f t="shared" si="7"/>
        <v xml:space="preserve"> 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ht="12.5">
      <c r="A456" s="16" t="s">
        <v>4394</v>
      </c>
      <c r="B456" s="16" t="s">
        <v>4394</v>
      </c>
      <c r="C456" s="16" t="str">
        <f t="shared" si="7"/>
        <v xml:space="preserve"> 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ht="12.5">
      <c r="A457" s="16" t="s">
        <v>4394</v>
      </c>
      <c r="B457" s="16" t="s">
        <v>4394</v>
      </c>
      <c r="C457" s="16" t="str">
        <f t="shared" si="7"/>
        <v xml:space="preserve"> 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ht="12.5">
      <c r="A458" s="16" t="s">
        <v>4394</v>
      </c>
      <c r="B458" s="16" t="s">
        <v>4394</v>
      </c>
      <c r="C458" s="16" t="str">
        <f t="shared" si="7"/>
        <v xml:space="preserve"> 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ht="12.5">
      <c r="A459" s="16" t="s">
        <v>4394</v>
      </c>
      <c r="B459" s="16" t="s">
        <v>4394</v>
      </c>
      <c r="C459" s="16" t="str">
        <f t="shared" si="7"/>
        <v xml:space="preserve"> 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ht="12.5">
      <c r="A460" s="16" t="s">
        <v>4394</v>
      </c>
      <c r="B460" s="16" t="s">
        <v>4394</v>
      </c>
      <c r="C460" s="16" t="str">
        <f t="shared" si="7"/>
        <v xml:space="preserve"> 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ht="12.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ht="12.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ht="12.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ht="12.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ht="12.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ht="12.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ht="12.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ht="12.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ht="12.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ht="12.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ht="12.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ht="12.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ht="12.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ht="12.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ht="12.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ht="12.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ht="12.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ht="12.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ht="12.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ht="12.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ht="12.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ht="12.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ht="12.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ht="12.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ht="12.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ht="12.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ht="12.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ht="12.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ht="12.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ht="12.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ht="12.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ht="12.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ht="12.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ht="12.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ht="12.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ht="12.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ht="12.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ht="12.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ht="12.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ht="12.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ht="12.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ht="12.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ht="12.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ht="12.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ht="12.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ht="12.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ht="12.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ht="12.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ht="12.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ht="12.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ht="12.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ht="12.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ht="12.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ht="12.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ht="12.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ht="12.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ht="12.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ht="12.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ht="12.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ht="12.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ht="12.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ht="12.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ht="12.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ht="12.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ht="12.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ht="12.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ht="12.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ht="12.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ht="12.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ht="12.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ht="12.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ht="12.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ht="12.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ht="12.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ht="12.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ht="12.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ht="12.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ht="12.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ht="12.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ht="12.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ht="12.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ht="12.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ht="12.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ht="12.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ht="12.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ht="12.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ht="12.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ht="12.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ht="12.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ht="12.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ht="12.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ht="12.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ht="12.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ht="12.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ht="12.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ht="12.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ht="12.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ht="12.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ht="12.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ht="12.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ht="12.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ht="12.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ht="12.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ht="12.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ht="12.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ht="12.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ht="12.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ht="12.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ht="12.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ht="12.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ht="12.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ht="12.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ht="12.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ht="12.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ht="12.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ht="12.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ht="12.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ht="12.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ht="12.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ht="12.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ht="12.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ht="12.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ht="12.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ht="12.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ht="12.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ht="12.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ht="12.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ht="12.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ht="12.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ht="12.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ht="12.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ht="12.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ht="12.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ht="12.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ht="12.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ht="12.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ht="12.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ht="12.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ht="12.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ht="12.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ht="12.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ht="12.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ht="12.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ht="12.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ht="12.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ht="12.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ht="12.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ht="12.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ht="12.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ht="12.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ht="12.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ht="12.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ht="12.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ht="12.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ht="12.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ht="12.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ht="12.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ht="12.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ht="12.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ht="12.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ht="12.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ht="12.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ht="12.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ht="12.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ht="12.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ht="12.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ht="12.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ht="12.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ht="12.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ht="12.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ht="12.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ht="12.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ht="12.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ht="12.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ht="12.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ht="12.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ht="12.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ht="12.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ht="12.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ht="12.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ht="12.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ht="12.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ht="12.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ht="12.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ht="12.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ht="12.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ht="12.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ht="12.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ht="12.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ht="12.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ht="12.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ht="12.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ht="12.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ht="12.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ht="12.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ht="12.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ht="12.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ht="12.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ht="12.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ht="12.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ht="12.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ht="12.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ht="12.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ht="12.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ht="12.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ht="12.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ht="12.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ht="12.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ht="12.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ht="12.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ht="12.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ht="12.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ht="12.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ht="12.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ht="12.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ht="12.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ht="12.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ht="12.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ht="12.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ht="12.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ht="12.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ht="12.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ht="12.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ht="12.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ht="12.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ht="12.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ht="12.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ht="12.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ht="12.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ht="12.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ht="12.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ht="12.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ht="12.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ht="12.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ht="12.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ht="12.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ht="12.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ht="12.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ht="12.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ht="12.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ht="12.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ht="12.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ht="12.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ht="12.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ht="12.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ht="12.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ht="12.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ht="12.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ht="12.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ht="12.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ht="12.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ht="12.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ht="12.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ht="12.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ht="12.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ht="12.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ht="12.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ht="12.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ht="12.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ht="12.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ht="12.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ht="12.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ht="12.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ht="12.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ht="12.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ht="12.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ht="12.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ht="12.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ht="12.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ht="12.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ht="12.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ht="12.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ht="12.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ht="12.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ht="12.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ht="12.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ht="12.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ht="12.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ht="12.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ht="12.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ht="12.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ht="12.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ht="12.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ht="12.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ht="12.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ht="12.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ht="12.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ht="12.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ht="12.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ht="12.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ht="12.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ht="12.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ht="12.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ht="12.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ht="12.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ht="12.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ht="12.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ht="12.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ht="12.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ht="12.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ht="12.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ht="12.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ht="12.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ht="12.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ht="12.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ht="12.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ht="12.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ht="12.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ht="12.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ht="12.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ht="12.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ht="12.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ht="12.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ht="12.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ht="12.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ht="12.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ht="12.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ht="12.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ht="12.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ht="12.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ht="12.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ht="12.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ht="12.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ht="12.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ht="12.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ht="12.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ht="12.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ht="12.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ht="12.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ht="12.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ht="12.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ht="12.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ht="12.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ht="12.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ht="12.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ht="12.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ht="12.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ht="12.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ht="12.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ht="12.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ht="12.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ht="12.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ht="12.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ht="12.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ht="12.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ht="12.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ht="12.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ht="12.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ht="12.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ht="12.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ht="12.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ht="12.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ht="12.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ht="12.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ht="12.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ht="12.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ht="12.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ht="12.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ht="12.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ht="12.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ht="12.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ht="12.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ht="12.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ht="12.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ht="12.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ht="12.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ht="12.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ht="12.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ht="12.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ht="12.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ht="12.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ht="12.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ht="12.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ht="12.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ht="12.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ht="12.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ht="12.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ht="12.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ht="12.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ht="12.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ht="12.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ht="12.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ht="12.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ht="12.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ht="12.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ht="12.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ht="12.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ht="12.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ht="12.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ht="12.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ht="12.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ht="12.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ht="12.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ht="12.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ht="12.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ht="12.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ht="12.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ht="12.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ht="12.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ht="12.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ht="12.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ht="12.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ht="12.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ht="12.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ht="12.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ht="12.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ht="12.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ht="12.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ht="12.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ht="12.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ht="12.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ht="12.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ht="12.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ht="12.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ht="12.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ht="12.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ht="12.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ht="12.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ht="12.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ht="12.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ht="12.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ht="12.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ht="12.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ht="12.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ht="12.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ht="12.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ht="12.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ht="12.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ht="12.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ht="12.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ht="12.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ht="12.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ht="12.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ht="12.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ht="12.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ht="12.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ht="12.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ht="12.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ht="12.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ht="12.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ht="12.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ht="12.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ht="12.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ht="12.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ht="12.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ht="12.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ht="12.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ht="12.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ht="12.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ht="12.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ht="12.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ht="12.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ht="12.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ht="12.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ht="12.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ht="12.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ht="12.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ht="12.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ht="12.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ht="12.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ht="12.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ht="12.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ht="12.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ht="12.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ht="12.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ht="12.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ht="12.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ht="12.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ht="12.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ht="12.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ht="12.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ht="12.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ht="12.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ht="12.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ht="12.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ht="12.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ht="12.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ht="12.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ht="12.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ht="12.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ht="12.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ht="12.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ht="12.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ht="12.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ht="12.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ht="12.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ht="12.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ht="12.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ht="12.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ht="12.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ht="12.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ht="12.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ht="12.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ht="12.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ht="12.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ht="12.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ht="12.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ht="12.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ht="12.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ht="12.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ht="12.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ht="12.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ht="12.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ht="12.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ht="12.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ht="12.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ht="12.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ht="12.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ht="12.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ht="12.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ht="12.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ht="12.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ht="12.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ht="12.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ht="12.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ht="12.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ht="12.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ht="12.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ht="12.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ht="12.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ht="12.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ht="12.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ht="12.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ht="12.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ht="12.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ht="12.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ht="12.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ht="12.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1:20" ht="12.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1:20" ht="12.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1:20" ht="12.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1:20" ht="12.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1:20" ht="12.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1:20" ht="12.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1:20" ht="12.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1:20" ht="12.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1:20" ht="12.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1:20" ht="12.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</sheetData>
  <autoFilter ref="A1:H46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selection activeCell="H1" sqref="H1"/>
    </sheetView>
  </sheetViews>
  <sheetFormatPr defaultColWidth="12.6328125" defaultRowHeight="15.75" customHeight="1"/>
  <cols>
    <col min="4" max="4" width="19.26953125" customWidth="1"/>
    <col min="5" max="5" width="28.6328125" customWidth="1"/>
    <col min="7" max="7" width="29.08984375" customWidth="1"/>
  </cols>
  <sheetData>
    <row r="1" spans="1:8" ht="26">
      <c r="A1" s="17" t="s">
        <v>324</v>
      </c>
      <c r="B1" s="17" t="s">
        <v>325</v>
      </c>
      <c r="C1" s="17" t="s">
        <v>4391</v>
      </c>
      <c r="D1" s="17" t="s">
        <v>326</v>
      </c>
      <c r="E1" s="17" t="s">
        <v>0</v>
      </c>
      <c r="F1" s="17" t="s">
        <v>327</v>
      </c>
      <c r="G1" s="17" t="s">
        <v>4389</v>
      </c>
      <c r="H1" s="17" t="s">
        <v>4390</v>
      </c>
    </row>
    <row r="2" spans="1:8" ht="15.75" customHeight="1">
      <c r="A2" s="16" t="s">
        <v>895</v>
      </c>
      <c r="B2" s="16" t="s">
        <v>896</v>
      </c>
      <c r="C2" s="16" t="str">
        <f>_xlfn.CONCAT(A2," ",B2)</f>
        <v>Billy Ma</v>
      </c>
      <c r="D2" s="16" t="s">
        <v>897</v>
      </c>
      <c r="E2" s="16" t="s">
        <v>898</v>
      </c>
      <c r="F2" s="16" t="s">
        <v>4</v>
      </c>
      <c r="G2" s="16" t="s">
        <v>899</v>
      </c>
      <c r="H2" s="16" t="s">
        <v>900</v>
      </c>
    </row>
    <row r="3" spans="1:8" ht="15.75" customHeight="1">
      <c r="A3" s="16" t="s">
        <v>901</v>
      </c>
      <c r="B3" s="16" t="s">
        <v>902</v>
      </c>
      <c r="C3" s="16" t="str">
        <f t="shared" ref="C3:C66" si="0">_xlfn.CONCAT(A3," ",B3)</f>
        <v>Eunice Ng</v>
      </c>
      <c r="D3" s="16" t="s">
        <v>897</v>
      </c>
      <c r="E3" s="16" t="s">
        <v>903</v>
      </c>
      <c r="F3" s="16" t="s">
        <v>4</v>
      </c>
      <c r="G3" s="16" t="s">
        <v>904</v>
      </c>
      <c r="H3" s="16" t="s">
        <v>905</v>
      </c>
    </row>
    <row r="4" spans="1:8" ht="15.75" customHeight="1">
      <c r="A4" s="16" t="s">
        <v>906</v>
      </c>
      <c r="B4" s="16" t="s">
        <v>907</v>
      </c>
      <c r="C4" s="16" t="str">
        <f t="shared" si="0"/>
        <v>Irvine Goh</v>
      </c>
      <c r="D4" s="16" t="s">
        <v>897</v>
      </c>
      <c r="E4" s="16" t="s">
        <v>908</v>
      </c>
      <c r="F4" s="16" t="s">
        <v>4</v>
      </c>
      <c r="G4" s="16" t="s">
        <v>909</v>
      </c>
      <c r="H4" s="16" t="s">
        <v>910</v>
      </c>
    </row>
    <row r="5" spans="1:8" ht="15.75" customHeight="1">
      <c r="A5" s="16" t="s">
        <v>911</v>
      </c>
      <c r="B5" s="16" t="s">
        <v>842</v>
      </c>
      <c r="C5" s="16" t="str">
        <f t="shared" si="0"/>
        <v>Nicole NA</v>
      </c>
      <c r="D5" s="16" t="s">
        <v>897</v>
      </c>
      <c r="E5" s="16" t="s">
        <v>912</v>
      </c>
      <c r="F5" s="16" t="s">
        <v>4</v>
      </c>
      <c r="G5" s="16" t="s">
        <v>913</v>
      </c>
      <c r="H5" s="16" t="s">
        <v>914</v>
      </c>
    </row>
    <row r="6" spans="1:8" ht="15.75" customHeight="1">
      <c r="A6" s="16" t="s">
        <v>915</v>
      </c>
      <c r="B6" s="16" t="s">
        <v>916</v>
      </c>
      <c r="C6" s="16" t="str">
        <f t="shared" si="0"/>
        <v>Ruben Na</v>
      </c>
      <c r="D6" s="16" t="s">
        <v>897</v>
      </c>
      <c r="E6" s="16" t="s">
        <v>917</v>
      </c>
      <c r="F6" s="16" t="s">
        <v>4</v>
      </c>
      <c r="G6" s="16" t="s">
        <v>918</v>
      </c>
      <c r="H6" s="16" t="s">
        <v>919</v>
      </c>
    </row>
    <row r="7" spans="1:8" ht="15.75" customHeight="1">
      <c r="A7" s="16" t="s">
        <v>764</v>
      </c>
      <c r="B7" s="16" t="s">
        <v>842</v>
      </c>
      <c r="C7" s="16" t="str">
        <f t="shared" si="0"/>
        <v>Kim NA</v>
      </c>
      <c r="D7" s="16" t="s">
        <v>897</v>
      </c>
      <c r="E7" s="16" t="s">
        <v>920</v>
      </c>
      <c r="F7" s="16" t="s">
        <v>4</v>
      </c>
      <c r="G7" s="16" t="s">
        <v>921</v>
      </c>
      <c r="H7" s="16" t="s">
        <v>922</v>
      </c>
    </row>
    <row r="8" spans="1:8" ht="15.75" customHeight="1">
      <c r="A8" s="16" t="s">
        <v>923</v>
      </c>
      <c r="B8" s="16" t="s">
        <v>842</v>
      </c>
      <c r="C8" s="16" t="str">
        <f t="shared" si="0"/>
        <v>Ariel NA</v>
      </c>
      <c r="D8" s="16" t="s">
        <v>897</v>
      </c>
      <c r="E8" s="16" t="s">
        <v>924</v>
      </c>
      <c r="F8" s="16" t="s">
        <v>4</v>
      </c>
      <c r="G8" s="16" t="s">
        <v>925</v>
      </c>
      <c r="H8" s="16" t="s">
        <v>926</v>
      </c>
    </row>
    <row r="9" spans="1:8" ht="15.75" customHeight="1">
      <c r="A9" s="16" t="s">
        <v>927</v>
      </c>
      <c r="B9" s="16" t="s">
        <v>928</v>
      </c>
      <c r="C9" s="16" t="str">
        <f t="shared" si="0"/>
        <v>Elizaveta Nikolaeva</v>
      </c>
      <c r="D9" s="16" t="s">
        <v>897</v>
      </c>
      <c r="E9" s="16" t="s">
        <v>929</v>
      </c>
      <c r="F9" s="16" t="s">
        <v>4</v>
      </c>
      <c r="G9" s="16" t="s">
        <v>930</v>
      </c>
      <c r="H9" s="16" t="s">
        <v>931</v>
      </c>
    </row>
    <row r="10" spans="1:8" ht="15.75" customHeight="1">
      <c r="A10" s="16" t="s">
        <v>932</v>
      </c>
      <c r="B10" s="16" t="s">
        <v>933</v>
      </c>
      <c r="C10" s="16" t="str">
        <f t="shared" si="0"/>
        <v>Amanda Lu</v>
      </c>
      <c r="D10" s="16" t="s">
        <v>897</v>
      </c>
      <c r="E10" s="16" t="s">
        <v>934</v>
      </c>
      <c r="F10" s="16" t="s">
        <v>4</v>
      </c>
      <c r="G10" s="16" t="s">
        <v>935</v>
      </c>
      <c r="H10" s="16" t="s">
        <v>936</v>
      </c>
    </row>
    <row r="11" spans="1:8" ht="15.75" customHeight="1">
      <c r="A11" s="16" t="s">
        <v>937</v>
      </c>
      <c r="B11" s="16" t="s">
        <v>938</v>
      </c>
      <c r="C11" s="16" t="str">
        <f t="shared" si="0"/>
        <v>Matthew Poh</v>
      </c>
      <c r="D11" s="16" t="s">
        <v>897</v>
      </c>
      <c r="E11" s="16" t="s">
        <v>939</v>
      </c>
      <c r="F11" s="16" t="s">
        <v>4</v>
      </c>
      <c r="G11" s="16" t="s">
        <v>940</v>
      </c>
      <c r="H11" s="16" t="s">
        <v>941</v>
      </c>
    </row>
    <row r="12" spans="1:8" ht="15.75" customHeight="1">
      <c r="A12" s="16" t="s">
        <v>842</v>
      </c>
      <c r="B12" s="16" t="s">
        <v>4394</v>
      </c>
      <c r="C12" s="16" t="str">
        <f t="shared" si="0"/>
        <v xml:space="preserve">NA </v>
      </c>
      <c r="D12" s="16" t="s">
        <v>897</v>
      </c>
      <c r="E12" s="16" t="s">
        <v>942</v>
      </c>
      <c r="F12" s="16" t="s">
        <v>4</v>
      </c>
      <c r="G12" s="16"/>
      <c r="H12" s="16" t="s">
        <v>943</v>
      </c>
    </row>
    <row r="13" spans="1:8" ht="15.75" customHeight="1">
      <c r="A13" s="16" t="s">
        <v>944</v>
      </c>
      <c r="B13" s="16" t="s">
        <v>945</v>
      </c>
      <c r="C13" s="16" t="str">
        <f t="shared" si="0"/>
        <v>Elijah Yang</v>
      </c>
      <c r="D13" s="16" t="s">
        <v>897</v>
      </c>
      <c r="E13" s="16" t="s">
        <v>946</v>
      </c>
      <c r="F13" s="16" t="s">
        <v>4</v>
      </c>
      <c r="G13" s="16" t="s">
        <v>947</v>
      </c>
      <c r="H13" s="16" t="s">
        <v>948</v>
      </c>
    </row>
    <row r="14" spans="1:8" ht="15.75" customHeight="1">
      <c r="A14" s="16" t="s">
        <v>949</v>
      </c>
      <c r="B14" s="16" t="s">
        <v>950</v>
      </c>
      <c r="C14" s="16" t="str">
        <f t="shared" si="0"/>
        <v>Anna K</v>
      </c>
      <c r="D14" s="16" t="s">
        <v>897</v>
      </c>
      <c r="E14" s="16" t="s">
        <v>951</v>
      </c>
      <c r="F14" s="16" t="s">
        <v>4</v>
      </c>
      <c r="G14" s="16" t="s">
        <v>952</v>
      </c>
      <c r="H14" s="16" t="s">
        <v>953</v>
      </c>
    </row>
    <row r="15" spans="1:8" ht="15.75" customHeight="1">
      <c r="A15" s="16" t="s">
        <v>954</v>
      </c>
      <c r="B15" s="16" t="s">
        <v>955</v>
      </c>
      <c r="C15" s="16" t="str">
        <f t="shared" si="0"/>
        <v>JUAN EMILIO FRANCISCO CAYANAN</v>
      </c>
      <c r="D15" s="16" t="s">
        <v>897</v>
      </c>
      <c r="E15" s="16" t="s">
        <v>956</v>
      </c>
      <c r="F15" s="16" t="s">
        <v>4</v>
      </c>
      <c r="G15" s="16" t="s">
        <v>957</v>
      </c>
      <c r="H15" s="16"/>
    </row>
    <row r="16" spans="1:8" ht="15.75" customHeight="1">
      <c r="A16" s="16" t="s">
        <v>958</v>
      </c>
      <c r="B16" s="16" t="s">
        <v>842</v>
      </c>
      <c r="C16" s="16" t="str">
        <f t="shared" si="0"/>
        <v>Lester NA</v>
      </c>
      <c r="D16" s="16" t="s">
        <v>897</v>
      </c>
      <c r="E16" s="16" t="s">
        <v>959</v>
      </c>
      <c r="F16" s="16" t="s">
        <v>4</v>
      </c>
      <c r="G16" s="16" t="s">
        <v>960</v>
      </c>
      <c r="H16" s="16">
        <v>97226007</v>
      </c>
    </row>
    <row r="17" spans="1:8" ht="15.75" customHeight="1">
      <c r="A17" s="16" t="s">
        <v>961</v>
      </c>
      <c r="B17" s="16" t="s">
        <v>961</v>
      </c>
      <c r="C17" s="16" t="str">
        <f t="shared" si="0"/>
        <v>Syahruramadhan Syahruramadhan</v>
      </c>
      <c r="D17" s="16" t="s">
        <v>897</v>
      </c>
      <c r="E17" s="16" t="s">
        <v>962</v>
      </c>
      <c r="F17" s="16" t="s">
        <v>4</v>
      </c>
      <c r="G17" s="16" t="s">
        <v>963</v>
      </c>
      <c r="H17" s="16">
        <v>92385628</v>
      </c>
    </row>
    <row r="18" spans="1:8" ht="15.75" customHeight="1">
      <c r="A18" s="16" t="s">
        <v>842</v>
      </c>
      <c r="B18" s="16" t="s">
        <v>842</v>
      </c>
      <c r="C18" s="16" t="str">
        <f t="shared" si="0"/>
        <v>NA NA</v>
      </c>
      <c r="D18" s="16" t="s">
        <v>897</v>
      </c>
      <c r="E18" s="16" t="s">
        <v>964</v>
      </c>
      <c r="F18" s="16" t="s">
        <v>4</v>
      </c>
      <c r="G18" s="16" t="s">
        <v>842</v>
      </c>
      <c r="H18" s="16" t="s">
        <v>965</v>
      </c>
    </row>
    <row r="19" spans="1:8" ht="15.75" customHeight="1">
      <c r="A19" s="16" t="s">
        <v>842</v>
      </c>
      <c r="B19" s="16" t="s">
        <v>4394</v>
      </c>
      <c r="C19" s="16" t="str">
        <f t="shared" si="0"/>
        <v xml:space="preserve">NA </v>
      </c>
      <c r="D19" s="16" t="s">
        <v>897</v>
      </c>
      <c r="E19" s="16" t="s">
        <v>966</v>
      </c>
      <c r="F19" s="16" t="s">
        <v>4</v>
      </c>
      <c r="G19" s="16"/>
      <c r="H19" s="16" t="s">
        <v>967</v>
      </c>
    </row>
    <row r="20" spans="1:8" ht="15.75" customHeight="1">
      <c r="A20" s="16" t="s">
        <v>968</v>
      </c>
      <c r="B20" s="16" t="s">
        <v>969</v>
      </c>
      <c r="C20" s="16" t="str">
        <f t="shared" si="0"/>
        <v>Jow Leong</v>
      </c>
      <c r="D20" s="16" t="s">
        <v>897</v>
      </c>
      <c r="E20" s="16" t="s">
        <v>970</v>
      </c>
      <c r="F20" s="16" t="s">
        <v>4</v>
      </c>
      <c r="G20" s="16" t="s">
        <v>971</v>
      </c>
      <c r="H20" s="16">
        <v>97622736</v>
      </c>
    </row>
    <row r="21" spans="1:8" ht="15.75" customHeight="1">
      <c r="A21" s="16"/>
      <c r="B21" s="16" t="s">
        <v>4394</v>
      </c>
      <c r="C21" s="16" t="str">
        <f t="shared" si="0"/>
        <v xml:space="preserve"> </v>
      </c>
      <c r="D21" s="16" t="s">
        <v>897</v>
      </c>
      <c r="E21" s="16" t="s">
        <v>972</v>
      </c>
      <c r="F21" s="16" t="s">
        <v>4</v>
      </c>
      <c r="G21" s="16" t="s">
        <v>842</v>
      </c>
      <c r="H21" s="16" t="s">
        <v>973</v>
      </c>
    </row>
    <row r="22" spans="1:8" ht="15.75" customHeight="1">
      <c r="A22" s="16" t="s">
        <v>974</v>
      </c>
      <c r="B22" s="16" t="s">
        <v>975</v>
      </c>
      <c r="C22" s="16" t="str">
        <f t="shared" si="0"/>
        <v>gurmeet Kaur</v>
      </c>
      <c r="D22" s="16" t="s">
        <v>897</v>
      </c>
      <c r="E22" s="16" t="s">
        <v>976</v>
      </c>
      <c r="F22" s="16" t="s">
        <v>4</v>
      </c>
      <c r="G22" s="16" t="s">
        <v>842</v>
      </c>
      <c r="H22" s="16" t="s">
        <v>977</v>
      </c>
    </row>
    <row r="23" spans="1:8" ht="15.75" customHeight="1">
      <c r="A23" s="16" t="s">
        <v>842</v>
      </c>
      <c r="B23" s="16" t="s">
        <v>842</v>
      </c>
      <c r="C23" s="16" t="str">
        <f t="shared" si="0"/>
        <v>NA NA</v>
      </c>
      <c r="D23" s="16" t="s">
        <v>897</v>
      </c>
      <c r="E23" s="16" t="s">
        <v>978</v>
      </c>
      <c r="F23" s="16" t="s">
        <v>4</v>
      </c>
      <c r="G23" s="16"/>
      <c r="H23" s="16" t="s">
        <v>979</v>
      </c>
    </row>
    <row r="24" spans="1:8" ht="25">
      <c r="A24" s="16" t="s">
        <v>980</v>
      </c>
      <c r="B24" s="16" t="s">
        <v>349</v>
      </c>
      <c r="C24" s="16" t="str">
        <f t="shared" si="0"/>
        <v>Jen Fi Chang</v>
      </c>
      <c r="D24" s="16" t="s">
        <v>897</v>
      </c>
      <c r="E24" s="16" t="s">
        <v>981</v>
      </c>
      <c r="F24" s="16" t="s">
        <v>4</v>
      </c>
      <c r="G24" s="16" t="s">
        <v>982</v>
      </c>
      <c r="H24" s="16">
        <v>90120573</v>
      </c>
    </row>
    <row r="25" spans="1:8" ht="25">
      <c r="A25" s="16" t="s">
        <v>983</v>
      </c>
      <c r="B25" s="16" t="s">
        <v>984</v>
      </c>
      <c r="C25" s="16" t="str">
        <f t="shared" si="0"/>
        <v>Hazel chua</v>
      </c>
      <c r="D25" s="16" t="s">
        <v>897</v>
      </c>
      <c r="E25" s="16" t="s">
        <v>985</v>
      </c>
      <c r="F25" s="16" t="s">
        <v>4</v>
      </c>
      <c r="G25" s="16" t="s">
        <v>986</v>
      </c>
      <c r="H25" s="16">
        <v>97702200</v>
      </c>
    </row>
    <row r="26" spans="1:8" ht="25">
      <c r="A26" s="16" t="s">
        <v>987</v>
      </c>
      <c r="B26" s="16" t="s">
        <v>988</v>
      </c>
      <c r="C26" s="16" t="str">
        <f t="shared" si="0"/>
        <v>annee Lai</v>
      </c>
      <c r="D26" s="16" t="s">
        <v>897</v>
      </c>
      <c r="E26" s="16" t="s">
        <v>989</v>
      </c>
      <c r="F26" s="16" t="s">
        <v>4</v>
      </c>
      <c r="G26" s="16" t="s">
        <v>990</v>
      </c>
      <c r="H26" s="16">
        <v>67462112</v>
      </c>
    </row>
    <row r="27" spans="1:8" ht="25">
      <c r="A27" s="16" t="s">
        <v>991</v>
      </c>
      <c r="B27" s="16" t="s">
        <v>842</v>
      </c>
      <c r="C27" s="16" t="str">
        <f t="shared" si="0"/>
        <v>Jordon NA</v>
      </c>
      <c r="D27" s="16" t="s">
        <v>897</v>
      </c>
      <c r="E27" s="16" t="s">
        <v>992</v>
      </c>
      <c r="F27" s="16" t="s">
        <v>4</v>
      </c>
      <c r="G27" s="16" t="s">
        <v>993</v>
      </c>
      <c r="H27" s="16">
        <v>90693870</v>
      </c>
    </row>
    <row r="28" spans="1:8" ht="50">
      <c r="A28" s="16" t="s">
        <v>994</v>
      </c>
      <c r="B28" s="16" t="s">
        <v>842</v>
      </c>
      <c r="C28" s="16" t="str">
        <f t="shared" si="0"/>
        <v>JOJO NA</v>
      </c>
      <c r="D28" s="16" t="s">
        <v>897</v>
      </c>
      <c r="E28" s="16" t="s">
        <v>995</v>
      </c>
      <c r="F28" s="16" t="s">
        <v>4</v>
      </c>
      <c r="G28" s="16" t="s">
        <v>996</v>
      </c>
      <c r="H28" s="16" t="s">
        <v>997</v>
      </c>
    </row>
    <row r="29" spans="1:8" ht="25">
      <c r="A29" s="16" t="s">
        <v>998</v>
      </c>
      <c r="B29" s="16" t="s">
        <v>999</v>
      </c>
      <c r="C29" s="16" t="str">
        <f t="shared" si="0"/>
        <v>Michael Piatkowski</v>
      </c>
      <c r="D29" s="16" t="s">
        <v>897</v>
      </c>
      <c r="E29" s="16" t="s">
        <v>1000</v>
      </c>
      <c r="F29" s="16" t="s">
        <v>4</v>
      </c>
      <c r="G29" s="16" t="s">
        <v>1001</v>
      </c>
      <c r="H29" s="16" t="s">
        <v>1002</v>
      </c>
    </row>
    <row r="30" spans="1:8" ht="25">
      <c r="A30" s="16" t="s">
        <v>1003</v>
      </c>
      <c r="B30" s="16" t="s">
        <v>764</v>
      </c>
      <c r="C30" s="16" t="str">
        <f t="shared" si="0"/>
        <v>Janet Kim</v>
      </c>
      <c r="D30" s="16" t="s">
        <v>897</v>
      </c>
      <c r="E30" s="16" t="s">
        <v>1004</v>
      </c>
      <c r="F30" s="16" t="s">
        <v>4</v>
      </c>
      <c r="G30" s="16" t="s">
        <v>1005</v>
      </c>
      <c r="H30" s="16"/>
    </row>
    <row r="31" spans="1:8" ht="25">
      <c r="A31" s="16" t="s">
        <v>842</v>
      </c>
      <c r="B31" s="16" t="s">
        <v>842</v>
      </c>
      <c r="C31" s="16" t="str">
        <f t="shared" si="0"/>
        <v>NA NA</v>
      </c>
      <c r="D31" s="16" t="s">
        <v>897</v>
      </c>
      <c r="E31" s="16" t="s">
        <v>1006</v>
      </c>
      <c r="F31" s="16" t="s">
        <v>4</v>
      </c>
      <c r="G31" s="16" t="s">
        <v>842</v>
      </c>
      <c r="H31" s="16"/>
    </row>
    <row r="32" spans="1:8" ht="25">
      <c r="A32" s="16" t="s">
        <v>1007</v>
      </c>
      <c r="B32" s="16" t="s">
        <v>1008</v>
      </c>
      <c r="C32" s="16" t="str">
        <f t="shared" si="0"/>
        <v>Kevin Choo</v>
      </c>
      <c r="D32" s="16" t="s">
        <v>897</v>
      </c>
      <c r="E32" s="16" t="s">
        <v>1009</v>
      </c>
      <c r="F32" s="16" t="s">
        <v>4</v>
      </c>
      <c r="G32" s="16" t="s">
        <v>1010</v>
      </c>
      <c r="H32" s="16">
        <v>97928795</v>
      </c>
    </row>
    <row r="33" spans="1:8" ht="25">
      <c r="A33" s="16" t="s">
        <v>1011</v>
      </c>
      <c r="B33" s="16" t="s">
        <v>1012</v>
      </c>
      <c r="C33" s="16" t="str">
        <f t="shared" si="0"/>
        <v>Nazli Gungor</v>
      </c>
      <c r="D33" s="16" t="s">
        <v>897</v>
      </c>
      <c r="E33" s="16" t="s">
        <v>1013</v>
      </c>
      <c r="F33" s="16" t="s">
        <v>4</v>
      </c>
      <c r="G33" s="16" t="s">
        <v>1014</v>
      </c>
      <c r="H33" s="16" t="s">
        <v>1015</v>
      </c>
    </row>
    <row r="34" spans="1:8" ht="37.5">
      <c r="A34" s="16" t="s">
        <v>1016</v>
      </c>
      <c r="B34" s="16" t="s">
        <v>1017</v>
      </c>
      <c r="C34" s="16" t="str">
        <f t="shared" si="0"/>
        <v>Tham Wai Kut</v>
      </c>
      <c r="D34" s="16" t="s">
        <v>897</v>
      </c>
      <c r="E34" s="16" t="s">
        <v>1018</v>
      </c>
      <c r="F34" s="16" t="s">
        <v>4</v>
      </c>
      <c r="G34" s="16" t="s">
        <v>1019</v>
      </c>
      <c r="H34" s="16">
        <v>84335485</v>
      </c>
    </row>
    <row r="35" spans="1:8" ht="25">
      <c r="A35" s="16" t="s">
        <v>842</v>
      </c>
      <c r="B35" s="16" t="s">
        <v>4394</v>
      </c>
      <c r="C35" s="16" t="str">
        <f t="shared" si="0"/>
        <v xml:space="preserve">NA </v>
      </c>
      <c r="D35" s="16" t="s">
        <v>897</v>
      </c>
      <c r="E35" s="16" t="s">
        <v>1020</v>
      </c>
      <c r="F35" s="16" t="s">
        <v>4</v>
      </c>
      <c r="G35" s="16" t="s">
        <v>842</v>
      </c>
      <c r="H35" s="16" t="s">
        <v>1021</v>
      </c>
    </row>
    <row r="36" spans="1:8" ht="25">
      <c r="A36" s="16" t="s">
        <v>842</v>
      </c>
      <c r="B36" s="16" t="s">
        <v>842</v>
      </c>
      <c r="C36" s="16" t="str">
        <f t="shared" si="0"/>
        <v>NA NA</v>
      </c>
      <c r="D36" s="16" t="s">
        <v>897</v>
      </c>
      <c r="E36" s="16" t="s">
        <v>1022</v>
      </c>
      <c r="F36" s="16" t="s">
        <v>4</v>
      </c>
      <c r="G36" s="16" t="s">
        <v>842</v>
      </c>
      <c r="H36" s="16" t="s">
        <v>1023</v>
      </c>
    </row>
    <row r="37" spans="1:8" ht="25">
      <c r="A37" s="16" t="s">
        <v>1024</v>
      </c>
      <c r="B37" s="16" t="s">
        <v>842</v>
      </c>
      <c r="C37" s="16" t="str">
        <f t="shared" si="0"/>
        <v>EeCheng NA</v>
      </c>
      <c r="D37" s="16" t="s">
        <v>897</v>
      </c>
      <c r="E37" s="16" t="s">
        <v>1025</v>
      </c>
      <c r="F37" s="16" t="s">
        <v>4</v>
      </c>
      <c r="G37" s="16" t="s">
        <v>1026</v>
      </c>
      <c r="H37" s="16"/>
    </row>
    <row r="38" spans="1:8" ht="25">
      <c r="A38" s="16" t="s">
        <v>1027</v>
      </c>
      <c r="B38" s="16" t="s">
        <v>1028</v>
      </c>
      <c r="C38" s="16" t="str">
        <f t="shared" si="0"/>
        <v>Vincent oh</v>
      </c>
      <c r="D38" s="16" t="s">
        <v>897</v>
      </c>
      <c r="E38" s="16" t="s">
        <v>1029</v>
      </c>
      <c r="F38" s="16" t="s">
        <v>4</v>
      </c>
      <c r="G38" s="16" t="s">
        <v>1030</v>
      </c>
      <c r="H38" s="16">
        <v>86701438</v>
      </c>
    </row>
    <row r="39" spans="1:8" ht="25">
      <c r="A39" s="16" t="s">
        <v>1031</v>
      </c>
      <c r="B39" s="16" t="s">
        <v>4394</v>
      </c>
      <c r="C39" s="16" t="str">
        <f t="shared" si="0"/>
        <v xml:space="preserve">France </v>
      </c>
      <c r="D39" s="16" t="s">
        <v>897</v>
      </c>
      <c r="E39" s="16" t="s">
        <v>1032</v>
      </c>
      <c r="F39" s="16" t="s">
        <v>4</v>
      </c>
      <c r="G39" s="16"/>
      <c r="H39" s="16" t="s">
        <v>1033</v>
      </c>
    </row>
    <row r="40" spans="1:8" ht="25">
      <c r="A40" s="16" t="s">
        <v>1034</v>
      </c>
      <c r="B40" s="16" t="s">
        <v>1035</v>
      </c>
      <c r="C40" s="16" t="str">
        <f t="shared" si="0"/>
        <v>Dan Selvan</v>
      </c>
      <c r="D40" s="16" t="s">
        <v>897</v>
      </c>
      <c r="E40" s="16" t="s">
        <v>1036</v>
      </c>
      <c r="F40" s="16" t="s">
        <v>4</v>
      </c>
      <c r="G40" s="16" t="s">
        <v>1037</v>
      </c>
      <c r="H40" s="16">
        <v>92473953</v>
      </c>
    </row>
    <row r="41" spans="1:8" ht="25">
      <c r="A41" s="16" t="s">
        <v>1038</v>
      </c>
      <c r="B41" s="16" t="s">
        <v>394</v>
      </c>
      <c r="C41" s="16" t="str">
        <f t="shared" si="0"/>
        <v>Joanne Teo</v>
      </c>
      <c r="D41" s="16" t="s">
        <v>897</v>
      </c>
      <c r="E41" s="16" t="s">
        <v>1039</v>
      </c>
      <c r="F41" s="16" t="s">
        <v>4</v>
      </c>
      <c r="G41" s="16" t="s">
        <v>1040</v>
      </c>
      <c r="H41" s="16">
        <v>6590000000</v>
      </c>
    </row>
    <row r="42" spans="1:8" ht="25">
      <c r="A42" s="16" t="s">
        <v>1041</v>
      </c>
      <c r="B42" s="16" t="s">
        <v>1042</v>
      </c>
      <c r="C42" s="16" t="str">
        <f t="shared" si="0"/>
        <v>Jack Lor</v>
      </c>
      <c r="D42" s="16" t="s">
        <v>897</v>
      </c>
      <c r="E42" s="16" t="s">
        <v>1043</v>
      </c>
      <c r="F42" s="16" t="s">
        <v>4</v>
      </c>
      <c r="G42" s="16" t="s">
        <v>1044</v>
      </c>
      <c r="H42" s="16">
        <v>93796260</v>
      </c>
    </row>
    <row r="43" spans="1:8" ht="25">
      <c r="A43" s="16" t="s">
        <v>842</v>
      </c>
      <c r="B43" s="16" t="s">
        <v>4394</v>
      </c>
      <c r="C43" s="16" t="str">
        <f t="shared" si="0"/>
        <v xml:space="preserve">NA </v>
      </c>
      <c r="D43" s="16" t="s">
        <v>897</v>
      </c>
      <c r="E43" s="16" t="s">
        <v>1045</v>
      </c>
      <c r="F43" s="16" t="s">
        <v>4</v>
      </c>
      <c r="G43" s="16" t="s">
        <v>842</v>
      </c>
      <c r="H43" s="16"/>
    </row>
    <row r="44" spans="1:8" ht="25">
      <c r="A44" s="16" t="s">
        <v>1046</v>
      </c>
      <c r="B44" s="16" t="s">
        <v>842</v>
      </c>
      <c r="C44" s="16" t="str">
        <f t="shared" si="0"/>
        <v>Eileen NA</v>
      </c>
      <c r="D44" s="16" t="s">
        <v>897</v>
      </c>
      <c r="E44" s="16" t="s">
        <v>1047</v>
      </c>
      <c r="F44" s="16" t="s">
        <v>4</v>
      </c>
      <c r="G44" s="16" t="s">
        <v>842</v>
      </c>
      <c r="H44" s="16">
        <v>81338494</v>
      </c>
    </row>
    <row r="45" spans="1:8" ht="25">
      <c r="A45" s="16" t="s">
        <v>842</v>
      </c>
      <c r="B45" s="16" t="s">
        <v>4394</v>
      </c>
      <c r="C45" s="16" t="str">
        <f t="shared" si="0"/>
        <v xml:space="preserve">NA </v>
      </c>
      <c r="D45" s="16" t="s">
        <v>897</v>
      </c>
      <c r="E45" s="16" t="s">
        <v>1048</v>
      </c>
      <c r="F45" s="16" t="s">
        <v>4</v>
      </c>
      <c r="G45" s="18" t="s">
        <v>1049</v>
      </c>
      <c r="H45" s="16" t="s">
        <v>1050</v>
      </c>
    </row>
    <row r="46" spans="1:8" ht="25">
      <c r="A46" s="16" t="s">
        <v>1051</v>
      </c>
      <c r="B46" s="16" t="s">
        <v>842</v>
      </c>
      <c r="C46" s="16" t="str">
        <f t="shared" si="0"/>
        <v>MS MAY NA</v>
      </c>
      <c r="D46" s="16" t="s">
        <v>897</v>
      </c>
      <c r="E46" s="16" t="s">
        <v>1052</v>
      </c>
      <c r="F46" s="16" t="s">
        <v>4</v>
      </c>
      <c r="G46" s="16" t="s">
        <v>842</v>
      </c>
      <c r="H46" s="16" t="s">
        <v>1053</v>
      </c>
    </row>
    <row r="47" spans="1:8" ht="37.5">
      <c r="A47" s="16" t="s">
        <v>821</v>
      </c>
      <c r="B47" s="16" t="s">
        <v>821</v>
      </c>
      <c r="C47" s="16" t="str">
        <f t="shared" si="0"/>
        <v>Lee Lee</v>
      </c>
      <c r="D47" s="16" t="s">
        <v>897</v>
      </c>
      <c r="E47" s="16" t="s">
        <v>1054</v>
      </c>
      <c r="F47" s="16" t="s">
        <v>4</v>
      </c>
      <c r="G47" s="16" t="s">
        <v>1055</v>
      </c>
      <c r="H47" s="16">
        <v>100000000</v>
      </c>
    </row>
    <row r="48" spans="1:8" ht="37.5">
      <c r="A48" s="16" t="s">
        <v>842</v>
      </c>
      <c r="B48" s="16" t="s">
        <v>842</v>
      </c>
      <c r="C48" s="16" t="str">
        <f t="shared" si="0"/>
        <v>NA NA</v>
      </c>
      <c r="D48" s="16" t="s">
        <v>897</v>
      </c>
      <c r="E48" s="16" t="s">
        <v>1056</v>
      </c>
      <c r="F48" s="16" t="s">
        <v>4</v>
      </c>
      <c r="G48" s="18" t="s">
        <v>1057</v>
      </c>
      <c r="H48" s="16" t="s">
        <v>1058</v>
      </c>
    </row>
    <row r="49" spans="1:8" ht="25">
      <c r="A49" s="16"/>
      <c r="B49" s="16" t="s">
        <v>4394</v>
      </c>
      <c r="C49" s="16" t="str">
        <f t="shared" si="0"/>
        <v xml:space="preserve"> </v>
      </c>
      <c r="D49" s="16" t="s">
        <v>897</v>
      </c>
      <c r="E49" s="16" t="s">
        <v>1059</v>
      </c>
      <c r="F49" s="16" t="s">
        <v>4</v>
      </c>
      <c r="G49" s="16" t="s">
        <v>842</v>
      </c>
      <c r="H49" s="16"/>
    </row>
    <row r="50" spans="1:8" ht="25">
      <c r="A50" s="16"/>
      <c r="B50" s="16" t="s">
        <v>4394</v>
      </c>
      <c r="C50" s="16" t="str">
        <f t="shared" si="0"/>
        <v xml:space="preserve"> </v>
      </c>
      <c r="D50" s="16" t="s">
        <v>897</v>
      </c>
      <c r="E50" s="16" t="s">
        <v>1060</v>
      </c>
      <c r="F50" s="16" t="s">
        <v>4</v>
      </c>
      <c r="G50" s="16" t="s">
        <v>842</v>
      </c>
      <c r="H50" s="16"/>
    </row>
    <row r="51" spans="1:8" ht="25">
      <c r="A51" s="16"/>
      <c r="B51" s="16" t="s">
        <v>4394</v>
      </c>
      <c r="C51" s="16" t="str">
        <f t="shared" si="0"/>
        <v xml:space="preserve"> </v>
      </c>
      <c r="D51" s="16" t="s">
        <v>897</v>
      </c>
      <c r="E51" s="16" t="s">
        <v>1061</v>
      </c>
      <c r="F51" s="16" t="s">
        <v>4</v>
      </c>
      <c r="G51" s="16" t="s">
        <v>842</v>
      </c>
      <c r="H51" s="16"/>
    </row>
    <row r="52" spans="1:8" ht="25">
      <c r="A52" s="16" t="s">
        <v>1046</v>
      </c>
      <c r="B52" s="16" t="s">
        <v>1062</v>
      </c>
      <c r="C52" s="16" t="str">
        <f t="shared" si="0"/>
        <v>Eileen T</v>
      </c>
      <c r="D52" s="16" t="s">
        <v>897</v>
      </c>
      <c r="E52" s="16" t="s">
        <v>1063</v>
      </c>
      <c r="F52" s="16" t="s">
        <v>4</v>
      </c>
      <c r="G52" s="16" t="s">
        <v>1064</v>
      </c>
      <c r="H52" s="16">
        <v>91739696</v>
      </c>
    </row>
    <row r="53" spans="1:8" ht="25">
      <c r="A53" s="16" t="s">
        <v>1065</v>
      </c>
      <c r="B53" s="16" t="s">
        <v>1066</v>
      </c>
      <c r="C53" s="16" t="str">
        <f t="shared" si="0"/>
        <v>Keith Yong</v>
      </c>
      <c r="D53" s="16" t="s">
        <v>897</v>
      </c>
      <c r="E53" s="16" t="s">
        <v>1067</v>
      </c>
      <c r="F53" s="16" t="s">
        <v>4</v>
      </c>
      <c r="G53" s="16" t="s">
        <v>1068</v>
      </c>
      <c r="H53" s="16">
        <v>87309309</v>
      </c>
    </row>
    <row r="54" spans="1:8" ht="25">
      <c r="A54" s="16" t="s">
        <v>842</v>
      </c>
      <c r="B54" s="16" t="s">
        <v>4394</v>
      </c>
      <c r="C54" s="16" t="str">
        <f t="shared" si="0"/>
        <v xml:space="preserve">NA </v>
      </c>
      <c r="D54" s="16" t="s">
        <v>897</v>
      </c>
      <c r="E54" s="16" t="s">
        <v>1069</v>
      </c>
      <c r="F54" s="16" t="s">
        <v>4</v>
      </c>
      <c r="G54" s="16" t="s">
        <v>842</v>
      </c>
      <c r="H54" s="16"/>
    </row>
    <row r="55" spans="1:8" ht="25">
      <c r="A55" s="16" t="s">
        <v>1070</v>
      </c>
      <c r="B55" s="16" t="s">
        <v>4394</v>
      </c>
      <c r="C55" s="16" t="str">
        <f t="shared" si="0"/>
        <v xml:space="preserve">Colin </v>
      </c>
      <c r="D55" s="16" t="s">
        <v>897</v>
      </c>
      <c r="E55" s="16" t="s">
        <v>1071</v>
      </c>
      <c r="F55" s="16" t="s">
        <v>4</v>
      </c>
      <c r="G55" s="16" t="s">
        <v>1072</v>
      </c>
      <c r="H55" s="16">
        <v>90616454</v>
      </c>
    </row>
    <row r="56" spans="1:8" ht="25">
      <c r="A56" s="16" t="s">
        <v>1073</v>
      </c>
      <c r="B56" s="16" t="s">
        <v>1074</v>
      </c>
      <c r="C56" s="16" t="str">
        <f t="shared" si="0"/>
        <v>Gan Guoyi</v>
      </c>
      <c r="D56" s="16" t="s">
        <v>897</v>
      </c>
      <c r="E56" s="16" t="s">
        <v>1075</v>
      </c>
      <c r="F56" s="16" t="s">
        <v>4</v>
      </c>
      <c r="G56" s="16" t="s">
        <v>1076</v>
      </c>
      <c r="H56" s="16">
        <v>62215561</v>
      </c>
    </row>
    <row r="57" spans="1:8" ht="25">
      <c r="A57" s="16" t="s">
        <v>1077</v>
      </c>
      <c r="B57" s="16" t="s">
        <v>842</v>
      </c>
      <c r="C57" s="16" t="str">
        <f t="shared" si="0"/>
        <v>Marco NA</v>
      </c>
      <c r="D57" s="16" t="s">
        <v>897</v>
      </c>
      <c r="E57" s="16" t="s">
        <v>1078</v>
      </c>
      <c r="F57" s="16" t="s">
        <v>4</v>
      </c>
      <c r="G57" s="16" t="s">
        <v>1079</v>
      </c>
      <c r="H57" s="16">
        <v>86869985</v>
      </c>
    </row>
    <row r="58" spans="1:8" ht="37.5">
      <c r="A58" s="16" t="s">
        <v>1080</v>
      </c>
      <c r="B58" s="16" t="s">
        <v>842</v>
      </c>
      <c r="C58" s="16" t="str">
        <f t="shared" si="0"/>
        <v>Petric NA</v>
      </c>
      <c r="D58" s="16" t="s">
        <v>897</v>
      </c>
      <c r="E58" s="16" t="s">
        <v>1081</v>
      </c>
      <c r="F58" s="16" t="s">
        <v>4</v>
      </c>
      <c r="G58" s="18" t="s">
        <v>1082</v>
      </c>
      <c r="H58" s="16"/>
    </row>
    <row r="59" spans="1:8" ht="37.5">
      <c r="A59" s="16" t="s">
        <v>1083</v>
      </c>
      <c r="B59" s="16" t="s">
        <v>1084</v>
      </c>
      <c r="C59" s="16" t="str">
        <f t="shared" si="0"/>
        <v>Hui Jie</v>
      </c>
      <c r="D59" s="16" t="s">
        <v>897</v>
      </c>
      <c r="E59" s="16" t="s">
        <v>1085</v>
      </c>
      <c r="F59" s="16" t="s">
        <v>4</v>
      </c>
      <c r="G59" s="16" t="s">
        <v>1086</v>
      </c>
      <c r="H59" s="16">
        <v>92317579</v>
      </c>
    </row>
    <row r="60" spans="1:8" ht="37.5">
      <c r="A60" s="16"/>
      <c r="B60" s="16" t="s">
        <v>1087</v>
      </c>
      <c r="C60" s="16" t="str">
        <f t="shared" si="0"/>
        <v xml:space="preserve"> Email .</v>
      </c>
      <c r="D60" s="16" t="s">
        <v>897</v>
      </c>
      <c r="E60" s="16" t="s">
        <v>1088</v>
      </c>
      <c r="F60" s="16" t="s">
        <v>4</v>
      </c>
      <c r="G60" s="16" t="s">
        <v>1089</v>
      </c>
      <c r="H60" s="18" t="s">
        <v>1089</v>
      </c>
    </row>
    <row r="61" spans="1:8" ht="25">
      <c r="A61" s="16"/>
      <c r="B61" s="16" t="s">
        <v>4394</v>
      </c>
      <c r="C61" s="16" t="str">
        <f t="shared" si="0"/>
        <v xml:space="preserve"> </v>
      </c>
      <c r="D61" s="16" t="s">
        <v>897</v>
      </c>
      <c r="E61" s="16" t="s">
        <v>1090</v>
      </c>
      <c r="F61" s="16" t="s">
        <v>4</v>
      </c>
      <c r="G61" s="16"/>
      <c r="H61" s="16"/>
    </row>
    <row r="62" spans="1:8" ht="25">
      <c r="A62" s="16" t="s">
        <v>1091</v>
      </c>
      <c r="B62" s="16" t="s">
        <v>842</v>
      </c>
      <c r="C62" s="16" t="str">
        <f t="shared" si="0"/>
        <v>Sheena NA</v>
      </c>
      <c r="D62" s="16" t="s">
        <v>897</v>
      </c>
      <c r="E62" s="16" t="s">
        <v>1092</v>
      </c>
      <c r="F62" s="16" t="s">
        <v>4</v>
      </c>
      <c r="G62" s="16">
        <v>0</v>
      </c>
      <c r="H62" s="16"/>
    </row>
    <row r="63" spans="1:8" ht="25">
      <c r="A63" s="16" t="s">
        <v>1093</v>
      </c>
      <c r="B63" s="16" t="s">
        <v>842</v>
      </c>
      <c r="C63" s="16" t="str">
        <f t="shared" si="0"/>
        <v>Shredde NA</v>
      </c>
      <c r="D63" s="16" t="s">
        <v>897</v>
      </c>
      <c r="E63" s="16" t="s">
        <v>1094</v>
      </c>
      <c r="F63" s="16" t="s">
        <v>4</v>
      </c>
      <c r="G63" s="16" t="s">
        <v>1095</v>
      </c>
      <c r="H63" s="16" t="s">
        <v>1096</v>
      </c>
    </row>
    <row r="64" spans="1:8" ht="25">
      <c r="A64" s="16" t="s">
        <v>1097</v>
      </c>
      <c r="B64" s="16" t="s">
        <v>907</v>
      </c>
      <c r="C64" s="16" t="str">
        <f t="shared" si="0"/>
        <v>Dylan Goh</v>
      </c>
      <c r="D64" s="16" t="s">
        <v>897</v>
      </c>
      <c r="E64" s="16" t="s">
        <v>1098</v>
      </c>
      <c r="F64" s="16" t="s">
        <v>4</v>
      </c>
      <c r="G64" s="16" t="s">
        <v>1099</v>
      </c>
      <c r="H64" s="16">
        <v>90625492</v>
      </c>
    </row>
    <row r="65" spans="1:8" ht="25">
      <c r="A65" s="16" t="s">
        <v>1100</v>
      </c>
      <c r="B65" s="16" t="s">
        <v>1101</v>
      </c>
      <c r="C65" s="16" t="str">
        <f t="shared" si="0"/>
        <v>Jerome Wee</v>
      </c>
      <c r="D65" s="16" t="s">
        <v>897</v>
      </c>
      <c r="E65" s="16" t="s">
        <v>1102</v>
      </c>
      <c r="F65" s="16" t="s">
        <v>4</v>
      </c>
      <c r="G65" s="16" t="s">
        <v>1103</v>
      </c>
      <c r="H65" s="16">
        <v>100000000</v>
      </c>
    </row>
    <row r="66" spans="1:8" ht="25">
      <c r="A66" s="16" t="s">
        <v>1104</v>
      </c>
      <c r="B66" s="16" t="s">
        <v>372</v>
      </c>
      <c r="C66" s="16" t="str">
        <f t="shared" si="0"/>
        <v>Shawn Tan</v>
      </c>
      <c r="D66" s="16" t="s">
        <v>897</v>
      </c>
      <c r="E66" s="16" t="s">
        <v>1105</v>
      </c>
      <c r="F66" s="16" t="s">
        <v>4</v>
      </c>
      <c r="G66" s="16" t="s">
        <v>1106</v>
      </c>
      <c r="H66" s="16">
        <v>96963589</v>
      </c>
    </row>
    <row r="67" spans="1:8" ht="25">
      <c r="A67" s="16" t="s">
        <v>1107</v>
      </c>
      <c r="B67" s="16" t="s">
        <v>1108</v>
      </c>
      <c r="C67" s="16" t="str">
        <f t="shared" ref="C67:C130" si="1">_xlfn.CONCAT(A67," ",B67)</f>
        <v>Naveed Wangsa</v>
      </c>
      <c r="D67" s="16" t="s">
        <v>897</v>
      </c>
      <c r="E67" s="16" t="s">
        <v>1109</v>
      </c>
      <c r="F67" s="16" t="s">
        <v>4</v>
      </c>
      <c r="G67" s="16" t="s">
        <v>1110</v>
      </c>
      <c r="H67" s="16" t="s">
        <v>1111</v>
      </c>
    </row>
    <row r="68" spans="1:8" ht="25">
      <c r="A68" s="16" t="s">
        <v>698</v>
      </c>
      <c r="B68" s="16" t="s">
        <v>1112</v>
      </c>
      <c r="C68" s="16" t="str">
        <f t="shared" si="1"/>
        <v>Lau Ai Ling</v>
      </c>
      <c r="D68" s="16" t="s">
        <v>897</v>
      </c>
      <c r="E68" s="16" t="s">
        <v>1113</v>
      </c>
      <c r="F68" s="16" t="s">
        <v>4</v>
      </c>
      <c r="G68" s="16" t="s">
        <v>1114</v>
      </c>
      <c r="H68" s="16">
        <v>82793023</v>
      </c>
    </row>
    <row r="69" spans="1:8" ht="25">
      <c r="A69" s="16"/>
      <c r="B69" s="16" t="s">
        <v>4394</v>
      </c>
      <c r="C69" s="16" t="str">
        <f t="shared" si="1"/>
        <v xml:space="preserve"> </v>
      </c>
      <c r="D69" s="16" t="s">
        <v>897</v>
      </c>
      <c r="E69" s="16" t="s">
        <v>1115</v>
      </c>
      <c r="F69" s="16" t="s">
        <v>4</v>
      </c>
      <c r="G69" s="16" t="s">
        <v>842</v>
      </c>
      <c r="H69" s="16" t="s">
        <v>1116</v>
      </c>
    </row>
    <row r="70" spans="1:8" ht="25">
      <c r="A70" s="16" t="s">
        <v>1117</v>
      </c>
      <c r="B70" s="16" t="s">
        <v>1118</v>
      </c>
      <c r="C70" s="16" t="str">
        <f t="shared" si="1"/>
        <v>Tiara Aquila</v>
      </c>
      <c r="D70" s="16" t="s">
        <v>897</v>
      </c>
      <c r="E70" s="16" t="s">
        <v>1119</v>
      </c>
      <c r="F70" s="16" t="s">
        <v>4</v>
      </c>
      <c r="G70" s="16" t="s">
        <v>1120</v>
      </c>
      <c r="H70" s="16">
        <v>91725542</v>
      </c>
    </row>
    <row r="71" spans="1:8" ht="25">
      <c r="A71" s="16" t="s">
        <v>1121</v>
      </c>
      <c r="B71" s="16" t="s">
        <v>1122</v>
      </c>
      <c r="C71" s="16" t="str">
        <f t="shared" si="1"/>
        <v>Ean Cheong</v>
      </c>
      <c r="D71" s="16" t="s">
        <v>897</v>
      </c>
      <c r="E71" s="16" t="s">
        <v>1123</v>
      </c>
      <c r="F71" s="16" t="s">
        <v>4</v>
      </c>
      <c r="G71" s="16" t="s">
        <v>1124</v>
      </c>
      <c r="H71" s="16">
        <v>88202447</v>
      </c>
    </row>
    <row r="72" spans="1:8" ht="25">
      <c r="A72" s="16" t="s">
        <v>1121</v>
      </c>
      <c r="B72" s="16" t="s">
        <v>1122</v>
      </c>
      <c r="C72" s="16" t="str">
        <f t="shared" si="1"/>
        <v>Ean Cheong</v>
      </c>
      <c r="D72" s="16" t="s">
        <v>897</v>
      </c>
      <c r="E72" s="16" t="s">
        <v>1125</v>
      </c>
      <c r="F72" s="16" t="s">
        <v>4</v>
      </c>
      <c r="G72" s="16" t="s">
        <v>1124</v>
      </c>
      <c r="H72" s="16">
        <v>88202447</v>
      </c>
    </row>
    <row r="73" spans="1:8" ht="25">
      <c r="A73" s="16" t="s">
        <v>1126</v>
      </c>
      <c r="B73" s="16" t="s">
        <v>1127</v>
      </c>
      <c r="C73" s="16" t="str">
        <f t="shared" si="1"/>
        <v>Anne KaszturA</v>
      </c>
      <c r="D73" s="16" t="s">
        <v>897</v>
      </c>
      <c r="E73" s="16" t="s">
        <v>1128</v>
      </c>
      <c r="F73" s="16" t="s">
        <v>4</v>
      </c>
      <c r="G73" s="16" t="s">
        <v>1129</v>
      </c>
      <c r="H73" s="16">
        <v>82012295</v>
      </c>
    </row>
    <row r="74" spans="1:8" ht="25">
      <c r="A74" s="16" t="s">
        <v>1130</v>
      </c>
      <c r="B74" s="16" t="s">
        <v>4394</v>
      </c>
      <c r="C74" s="16" t="str">
        <f t="shared" si="1"/>
        <v xml:space="preserve">Javier </v>
      </c>
      <c r="D74" s="16" t="s">
        <v>897</v>
      </c>
      <c r="E74" s="16" t="s">
        <v>1059</v>
      </c>
      <c r="F74" s="16" t="s">
        <v>4</v>
      </c>
      <c r="G74" s="16" t="s">
        <v>1131</v>
      </c>
      <c r="H74" s="16">
        <v>87190191</v>
      </c>
    </row>
    <row r="75" spans="1:8" ht="25">
      <c r="A75" s="16" t="s">
        <v>1132</v>
      </c>
      <c r="B75" s="16" t="s">
        <v>878</v>
      </c>
      <c r="C75" s="16" t="str">
        <f t="shared" si="1"/>
        <v>Olivia Koh</v>
      </c>
      <c r="D75" s="16" t="s">
        <v>897</v>
      </c>
      <c r="E75" s="16" t="s">
        <v>1133</v>
      </c>
      <c r="F75" s="16" t="s">
        <v>4</v>
      </c>
      <c r="G75" s="16" t="s">
        <v>1134</v>
      </c>
      <c r="H75" s="16" t="s">
        <v>1135</v>
      </c>
    </row>
    <row r="76" spans="1:8" ht="25">
      <c r="A76" s="16"/>
      <c r="B76" s="16" t="s">
        <v>4394</v>
      </c>
      <c r="C76" s="16" t="str">
        <f t="shared" si="1"/>
        <v xml:space="preserve"> </v>
      </c>
      <c r="D76" s="16" t="s">
        <v>897</v>
      </c>
      <c r="E76" s="16" t="s">
        <v>1136</v>
      </c>
      <c r="F76" s="16" t="s">
        <v>4</v>
      </c>
      <c r="G76" s="16" t="s">
        <v>842</v>
      </c>
      <c r="H76" s="16" t="s">
        <v>1137</v>
      </c>
    </row>
    <row r="77" spans="1:8" ht="25">
      <c r="A77" s="16" t="s">
        <v>1117</v>
      </c>
      <c r="B77" s="16" t="s">
        <v>1118</v>
      </c>
      <c r="C77" s="16" t="str">
        <f t="shared" si="1"/>
        <v>Tiara Aquila</v>
      </c>
      <c r="D77" s="16" t="s">
        <v>897</v>
      </c>
      <c r="E77" s="16" t="s">
        <v>1138</v>
      </c>
      <c r="F77" s="16" t="s">
        <v>4</v>
      </c>
      <c r="G77" s="16" t="s">
        <v>1120</v>
      </c>
      <c r="H77" s="16">
        <v>91725542</v>
      </c>
    </row>
    <row r="78" spans="1:8" ht="25">
      <c r="A78" s="16" t="s">
        <v>1104</v>
      </c>
      <c r="B78" s="16" t="s">
        <v>702</v>
      </c>
      <c r="C78" s="16" t="str">
        <f t="shared" si="1"/>
        <v>Shawn Lim</v>
      </c>
      <c r="D78" s="16" t="s">
        <v>897</v>
      </c>
      <c r="E78" s="16" t="s">
        <v>1139</v>
      </c>
      <c r="F78" s="16" t="s">
        <v>4</v>
      </c>
      <c r="G78" s="16" t="s">
        <v>1140</v>
      </c>
      <c r="H78" s="16">
        <v>66575599</v>
      </c>
    </row>
    <row r="79" spans="1:8" ht="25">
      <c r="A79" s="16"/>
      <c r="B79" s="16" t="s">
        <v>4394</v>
      </c>
      <c r="C79" s="16" t="str">
        <f t="shared" si="1"/>
        <v xml:space="preserve"> </v>
      </c>
      <c r="D79" s="16" t="s">
        <v>897</v>
      </c>
      <c r="E79" s="16" t="s">
        <v>1141</v>
      </c>
      <c r="F79" s="16" t="s">
        <v>4</v>
      </c>
      <c r="G79" s="16" t="s">
        <v>842</v>
      </c>
      <c r="H79" s="16" t="s">
        <v>1142</v>
      </c>
    </row>
    <row r="80" spans="1:8" ht="25">
      <c r="A80" s="16"/>
      <c r="B80" s="16" t="s">
        <v>4394</v>
      </c>
      <c r="C80" s="16" t="str">
        <f t="shared" si="1"/>
        <v xml:space="preserve"> </v>
      </c>
      <c r="D80" s="16" t="s">
        <v>897</v>
      </c>
      <c r="E80" s="16" t="s">
        <v>1143</v>
      </c>
      <c r="F80" s="16" t="s">
        <v>4</v>
      </c>
      <c r="G80" s="16" t="s">
        <v>842</v>
      </c>
      <c r="H80" s="16" t="s">
        <v>1144</v>
      </c>
    </row>
    <row r="81" spans="1:8" ht="37.5">
      <c r="A81" s="16" t="s">
        <v>1126</v>
      </c>
      <c r="B81" s="16" t="s">
        <v>1127</v>
      </c>
      <c r="C81" s="16" t="str">
        <f t="shared" si="1"/>
        <v>Anne KaszturA</v>
      </c>
      <c r="D81" s="16" t="s">
        <v>897</v>
      </c>
      <c r="E81" s="16" t="s">
        <v>1145</v>
      </c>
      <c r="F81" s="16" t="s">
        <v>4</v>
      </c>
      <c r="G81" s="16" t="s">
        <v>1129</v>
      </c>
      <c r="H81" s="16">
        <v>82012295</v>
      </c>
    </row>
    <row r="82" spans="1:8" ht="25">
      <c r="A82" s="16"/>
      <c r="B82" s="16" t="s">
        <v>4394</v>
      </c>
      <c r="C82" s="16" t="str">
        <f t="shared" si="1"/>
        <v xml:space="preserve"> </v>
      </c>
      <c r="D82" s="16" t="s">
        <v>897</v>
      </c>
      <c r="E82" s="16" t="s">
        <v>1146</v>
      </c>
      <c r="F82" s="16" t="s">
        <v>4</v>
      </c>
      <c r="G82" s="16" t="s">
        <v>842</v>
      </c>
      <c r="H82" s="16" t="s">
        <v>1147</v>
      </c>
    </row>
    <row r="83" spans="1:8" ht="25">
      <c r="A83" s="16"/>
      <c r="B83" s="16" t="s">
        <v>4394</v>
      </c>
      <c r="C83" s="16" t="str">
        <f t="shared" si="1"/>
        <v xml:space="preserve"> </v>
      </c>
      <c r="D83" s="16" t="s">
        <v>897</v>
      </c>
      <c r="E83" s="16" t="s">
        <v>1148</v>
      </c>
      <c r="F83" s="16" t="s">
        <v>4</v>
      </c>
      <c r="G83" s="16"/>
      <c r="H83" s="16">
        <v>93238885</v>
      </c>
    </row>
    <row r="84" spans="1:8" ht="25">
      <c r="A84" s="16" t="s">
        <v>1149</v>
      </c>
      <c r="B84" s="16" t="s">
        <v>1150</v>
      </c>
      <c r="C84" s="16" t="str">
        <f t="shared" si="1"/>
        <v>Ethan Chee</v>
      </c>
      <c r="D84" s="16" t="s">
        <v>897</v>
      </c>
      <c r="E84" s="16" t="s">
        <v>1151</v>
      </c>
      <c r="F84" s="16" t="s">
        <v>4</v>
      </c>
      <c r="G84" s="16" t="s">
        <v>1152</v>
      </c>
      <c r="H84" s="16">
        <v>81382274</v>
      </c>
    </row>
    <row r="85" spans="1:8" ht="25">
      <c r="A85" s="16" t="s">
        <v>1153</v>
      </c>
      <c r="B85" s="16" t="s">
        <v>372</v>
      </c>
      <c r="C85" s="16" t="str">
        <f t="shared" si="1"/>
        <v>Victor Tan</v>
      </c>
      <c r="D85" s="16" t="s">
        <v>897</v>
      </c>
      <c r="E85" s="16" t="s">
        <v>1154</v>
      </c>
      <c r="F85" s="16" t="s">
        <v>4</v>
      </c>
      <c r="G85" s="16" t="s">
        <v>1155</v>
      </c>
      <c r="H85" s="16">
        <v>90699696</v>
      </c>
    </row>
    <row r="86" spans="1:8" ht="25">
      <c r="A86" s="16" t="s">
        <v>1156</v>
      </c>
      <c r="B86" s="16" t="s">
        <v>682</v>
      </c>
      <c r="C86" s="16" t="str">
        <f t="shared" si="1"/>
        <v>Silvia Nguyen</v>
      </c>
      <c r="D86" s="16" t="s">
        <v>897</v>
      </c>
      <c r="E86" s="16" t="s">
        <v>1157</v>
      </c>
      <c r="F86" s="16" t="s">
        <v>4</v>
      </c>
      <c r="G86" s="16" t="s">
        <v>1158</v>
      </c>
      <c r="H86" s="16" t="s">
        <v>1159</v>
      </c>
    </row>
    <row r="87" spans="1:8" ht="25">
      <c r="A87" s="16" t="s">
        <v>1149</v>
      </c>
      <c r="B87" s="16" t="s">
        <v>1150</v>
      </c>
      <c r="C87" s="16" t="str">
        <f t="shared" si="1"/>
        <v>Ethan Chee</v>
      </c>
      <c r="D87" s="16" t="s">
        <v>897</v>
      </c>
      <c r="E87" s="16" t="s">
        <v>1160</v>
      </c>
      <c r="F87" s="16" t="s">
        <v>4</v>
      </c>
      <c r="G87" s="16" t="s">
        <v>1152</v>
      </c>
      <c r="H87" s="16">
        <v>81382274</v>
      </c>
    </row>
    <row r="88" spans="1:8" ht="25">
      <c r="A88" s="16" t="s">
        <v>1161</v>
      </c>
      <c r="B88" s="16" t="s">
        <v>1162</v>
      </c>
      <c r="C88" s="16" t="str">
        <f t="shared" si="1"/>
        <v>Eugene Tin</v>
      </c>
      <c r="D88" s="16" t="s">
        <v>897</v>
      </c>
      <c r="E88" s="16" t="s">
        <v>1163</v>
      </c>
      <c r="F88" s="16" t="s">
        <v>4</v>
      </c>
      <c r="G88" s="16" t="s">
        <v>1164</v>
      </c>
      <c r="H88" s="16">
        <v>96488636</v>
      </c>
    </row>
    <row r="89" spans="1:8" ht="25">
      <c r="A89" s="16" t="s">
        <v>842</v>
      </c>
      <c r="B89" s="16" t="s">
        <v>4394</v>
      </c>
      <c r="C89" s="16" t="str">
        <f t="shared" si="1"/>
        <v xml:space="preserve">NA </v>
      </c>
      <c r="D89" s="16" t="s">
        <v>897</v>
      </c>
      <c r="E89" s="16" t="s">
        <v>1165</v>
      </c>
      <c r="F89" s="16" t="s">
        <v>4</v>
      </c>
      <c r="G89" s="16" t="s">
        <v>1166</v>
      </c>
      <c r="H89" s="16">
        <v>88954130</v>
      </c>
    </row>
    <row r="90" spans="1:8" ht="25">
      <c r="A90" s="16" t="s">
        <v>842</v>
      </c>
      <c r="B90" s="16" t="s">
        <v>4394</v>
      </c>
      <c r="C90" s="16" t="str">
        <f t="shared" si="1"/>
        <v xml:space="preserve">NA </v>
      </c>
      <c r="D90" s="16" t="s">
        <v>897</v>
      </c>
      <c r="E90" s="16" t="s">
        <v>1167</v>
      </c>
      <c r="F90" s="16" t="s">
        <v>4</v>
      </c>
      <c r="G90" s="16" t="s">
        <v>842</v>
      </c>
      <c r="H90" s="16">
        <v>96917107</v>
      </c>
    </row>
    <row r="91" spans="1:8" ht="25">
      <c r="A91" s="16" t="s">
        <v>842</v>
      </c>
      <c r="B91" s="16" t="s">
        <v>4394</v>
      </c>
      <c r="C91" s="16" t="str">
        <f t="shared" si="1"/>
        <v xml:space="preserve">NA </v>
      </c>
      <c r="D91" s="16" t="s">
        <v>897</v>
      </c>
      <c r="E91" s="16" t="s">
        <v>1168</v>
      </c>
      <c r="F91" s="16" t="s">
        <v>4</v>
      </c>
      <c r="G91" s="16" t="s">
        <v>842</v>
      </c>
      <c r="H91" s="16" t="s">
        <v>1169</v>
      </c>
    </row>
    <row r="92" spans="1:8" ht="37.5">
      <c r="A92" s="16" t="s">
        <v>1170</v>
      </c>
      <c r="B92" s="16" t="s">
        <v>1171</v>
      </c>
      <c r="C92" s="16" t="str">
        <f t="shared" si="1"/>
        <v>Simon Reyes</v>
      </c>
      <c r="D92" s="16" t="s">
        <v>897</v>
      </c>
      <c r="E92" s="16" t="s">
        <v>1172</v>
      </c>
      <c r="F92" s="16" t="s">
        <v>4</v>
      </c>
      <c r="G92" s="16" t="s">
        <v>1173</v>
      </c>
      <c r="H92" s="16">
        <v>6590000000</v>
      </c>
    </row>
    <row r="93" spans="1:8" ht="25">
      <c r="A93" s="16" t="s">
        <v>1174</v>
      </c>
      <c r="B93" s="16" t="s">
        <v>1175</v>
      </c>
      <c r="C93" s="16" t="str">
        <f t="shared" si="1"/>
        <v>jacob foo</v>
      </c>
      <c r="D93" s="16" t="s">
        <v>897</v>
      </c>
      <c r="E93" s="16" t="s">
        <v>1176</v>
      </c>
      <c r="F93" s="16" t="s">
        <v>4</v>
      </c>
      <c r="G93" s="16" t="s">
        <v>1177</v>
      </c>
      <c r="H93" s="16">
        <v>98346386</v>
      </c>
    </row>
    <row r="94" spans="1:8" ht="25">
      <c r="A94" s="16" t="s">
        <v>1178</v>
      </c>
      <c r="B94" s="16" t="s">
        <v>1179</v>
      </c>
      <c r="C94" s="16" t="str">
        <f t="shared" si="1"/>
        <v>Meenakshii Singh</v>
      </c>
      <c r="D94" s="16" t="s">
        <v>897</v>
      </c>
      <c r="E94" s="16" t="s">
        <v>1180</v>
      </c>
      <c r="F94" s="16" t="s">
        <v>4</v>
      </c>
      <c r="G94" s="16" t="s">
        <v>1181</v>
      </c>
      <c r="H94" s="16">
        <v>96444298</v>
      </c>
    </row>
    <row r="95" spans="1:8" ht="25">
      <c r="A95" s="16" t="s">
        <v>1182</v>
      </c>
      <c r="B95" s="16" t="s">
        <v>1183</v>
      </c>
      <c r="C95" s="16" t="str">
        <f t="shared" si="1"/>
        <v>Sanny Tanty</v>
      </c>
      <c r="D95" s="16" t="s">
        <v>897</v>
      </c>
      <c r="E95" s="16" t="s">
        <v>1184</v>
      </c>
      <c r="F95" s="16" t="s">
        <v>4</v>
      </c>
      <c r="G95" s="16" t="s">
        <v>1185</v>
      </c>
      <c r="H95" s="16">
        <v>93490882</v>
      </c>
    </row>
    <row r="96" spans="1:8" ht="25">
      <c r="A96" s="16" t="s">
        <v>694</v>
      </c>
      <c r="B96" s="16" t="s">
        <v>1186</v>
      </c>
      <c r="C96" s="16" t="str">
        <f t="shared" si="1"/>
        <v>John Low</v>
      </c>
      <c r="D96" s="16" t="s">
        <v>897</v>
      </c>
      <c r="E96" s="16" t="s">
        <v>1187</v>
      </c>
      <c r="F96" s="16" t="s">
        <v>4</v>
      </c>
      <c r="G96" s="16" t="s">
        <v>1188</v>
      </c>
      <c r="H96" s="16">
        <v>96752803</v>
      </c>
    </row>
    <row r="97" spans="1:8" ht="25">
      <c r="A97" s="16" t="s">
        <v>1189</v>
      </c>
      <c r="B97" s="16" t="s">
        <v>4394</v>
      </c>
      <c r="C97" s="16" t="str">
        <f t="shared" si="1"/>
        <v xml:space="preserve">Belinda </v>
      </c>
      <c r="D97" s="16" t="s">
        <v>897</v>
      </c>
      <c r="E97" s="16" t="s">
        <v>1190</v>
      </c>
      <c r="F97" s="16" t="s">
        <v>4</v>
      </c>
      <c r="G97" s="18" t="s">
        <v>1191</v>
      </c>
      <c r="H97" s="16" t="s">
        <v>1192</v>
      </c>
    </row>
    <row r="98" spans="1:8" ht="37.5">
      <c r="A98" s="16" t="s">
        <v>1182</v>
      </c>
      <c r="B98" s="16" t="s">
        <v>4394</v>
      </c>
      <c r="C98" s="16" t="str">
        <f t="shared" si="1"/>
        <v xml:space="preserve">Sanny </v>
      </c>
      <c r="D98" s="16" t="s">
        <v>897</v>
      </c>
      <c r="E98" s="16" t="s">
        <v>1193</v>
      </c>
      <c r="F98" s="16" t="s">
        <v>4</v>
      </c>
      <c r="G98" s="16" t="s">
        <v>1185</v>
      </c>
      <c r="H98" s="16">
        <v>93490882</v>
      </c>
    </row>
    <row r="99" spans="1:8" ht="25">
      <c r="A99" s="16"/>
      <c r="B99" s="16" t="s">
        <v>4394</v>
      </c>
      <c r="C99" s="16" t="str">
        <f t="shared" si="1"/>
        <v xml:space="preserve"> </v>
      </c>
      <c r="D99" s="16" t="s">
        <v>897</v>
      </c>
      <c r="E99" s="16" t="s">
        <v>1194</v>
      </c>
      <c r="F99" s="16" t="s">
        <v>4</v>
      </c>
      <c r="G99" s="16"/>
      <c r="H99" s="16" t="s">
        <v>1195</v>
      </c>
    </row>
    <row r="100" spans="1:8" ht="25">
      <c r="A100" s="16" t="s">
        <v>1178</v>
      </c>
      <c r="B100" s="16" t="s">
        <v>1179</v>
      </c>
      <c r="C100" s="16" t="str">
        <f t="shared" si="1"/>
        <v>Meenakshii Singh</v>
      </c>
      <c r="D100" s="16" t="s">
        <v>897</v>
      </c>
      <c r="E100" s="16" t="s">
        <v>1180</v>
      </c>
      <c r="F100" s="16" t="s">
        <v>4</v>
      </c>
      <c r="G100" s="16" t="s">
        <v>1181</v>
      </c>
      <c r="H100" s="16">
        <v>96444298</v>
      </c>
    </row>
    <row r="101" spans="1:8" ht="25">
      <c r="A101" s="16" t="s">
        <v>1196</v>
      </c>
      <c r="B101" s="16" t="s">
        <v>1197</v>
      </c>
      <c r="C101" s="16" t="str">
        <f t="shared" si="1"/>
        <v>Kah yee Kia</v>
      </c>
      <c r="D101" s="16" t="s">
        <v>897</v>
      </c>
      <c r="E101" s="16" t="s">
        <v>1198</v>
      </c>
      <c r="F101" s="16" t="s">
        <v>4</v>
      </c>
      <c r="G101" s="16" t="s">
        <v>1199</v>
      </c>
      <c r="H101" s="16">
        <v>98890104</v>
      </c>
    </row>
    <row r="102" spans="1:8" ht="25">
      <c r="A102" s="16" t="s">
        <v>1200</v>
      </c>
      <c r="B102" s="16" t="s">
        <v>902</v>
      </c>
      <c r="C102" s="16" t="str">
        <f t="shared" si="1"/>
        <v>Melissa Ng</v>
      </c>
      <c r="D102" s="16" t="s">
        <v>897</v>
      </c>
      <c r="E102" s="16" t="s">
        <v>1201</v>
      </c>
      <c r="F102" s="16" t="s">
        <v>4</v>
      </c>
      <c r="G102" s="16" t="s">
        <v>1202</v>
      </c>
      <c r="H102" s="16">
        <v>93698600</v>
      </c>
    </row>
    <row r="103" spans="1:8" ht="25">
      <c r="A103" s="16" t="s">
        <v>821</v>
      </c>
      <c r="B103" s="16" t="s">
        <v>1097</v>
      </c>
      <c r="C103" s="16" t="str">
        <f t="shared" si="1"/>
        <v>Lee Dylan</v>
      </c>
      <c r="D103" s="16" t="s">
        <v>897</v>
      </c>
      <c r="E103" s="16" t="s">
        <v>1203</v>
      </c>
      <c r="F103" s="16" t="s">
        <v>4</v>
      </c>
      <c r="G103" s="16" t="s">
        <v>1204</v>
      </c>
      <c r="H103" s="16">
        <v>84686755</v>
      </c>
    </row>
    <row r="104" spans="1:8" ht="25">
      <c r="A104" s="16" t="s">
        <v>1205</v>
      </c>
      <c r="B104" s="16" t="s">
        <v>372</v>
      </c>
      <c r="C104" s="16" t="str">
        <f t="shared" si="1"/>
        <v>Wee Yong Tan</v>
      </c>
      <c r="D104" s="16" t="s">
        <v>897</v>
      </c>
      <c r="E104" s="16" t="s">
        <v>1206</v>
      </c>
      <c r="F104" s="16" t="s">
        <v>4</v>
      </c>
      <c r="G104" s="16" t="s">
        <v>1207</v>
      </c>
      <c r="H104" s="16">
        <v>90053717</v>
      </c>
    </row>
    <row r="105" spans="1:8" ht="25">
      <c r="A105" s="16" t="s">
        <v>1208</v>
      </c>
      <c r="B105" s="16" t="s">
        <v>1209</v>
      </c>
      <c r="C105" s="16" t="str">
        <f t="shared" si="1"/>
        <v>Yuting Wang</v>
      </c>
      <c r="D105" s="16" t="s">
        <v>897</v>
      </c>
      <c r="E105" s="16" t="s">
        <v>1210</v>
      </c>
      <c r="F105" s="16" t="s">
        <v>4</v>
      </c>
      <c r="G105" s="16" t="s">
        <v>1211</v>
      </c>
      <c r="H105" s="16">
        <v>85752558</v>
      </c>
    </row>
    <row r="106" spans="1:8" ht="25">
      <c r="A106" s="16" t="s">
        <v>1212</v>
      </c>
      <c r="B106" s="16" t="s">
        <v>1213</v>
      </c>
      <c r="C106" s="16" t="str">
        <f t="shared" si="1"/>
        <v>Zack Lock</v>
      </c>
      <c r="D106" s="16" t="s">
        <v>897</v>
      </c>
      <c r="E106" s="16" t="s">
        <v>1214</v>
      </c>
      <c r="F106" s="16" t="s">
        <v>4</v>
      </c>
      <c r="G106" s="16" t="s">
        <v>1215</v>
      </c>
      <c r="H106" s="16">
        <v>91813478</v>
      </c>
    </row>
    <row r="107" spans="1:8" ht="25">
      <c r="A107" s="16" t="s">
        <v>352</v>
      </c>
      <c r="B107" s="16" t="s">
        <v>4394</v>
      </c>
      <c r="C107" s="16" t="str">
        <f t="shared" si="1"/>
        <v xml:space="preserve">LIM </v>
      </c>
      <c r="D107" s="16" t="s">
        <v>897</v>
      </c>
      <c r="E107" s="16" t="s">
        <v>1216</v>
      </c>
      <c r="F107" s="16" t="s">
        <v>4</v>
      </c>
      <c r="G107" s="16" t="s">
        <v>1217</v>
      </c>
      <c r="H107" s="16" t="s">
        <v>1218</v>
      </c>
    </row>
    <row r="108" spans="1:8" ht="25">
      <c r="A108" s="16" t="s">
        <v>1219</v>
      </c>
      <c r="B108" s="16" t="s">
        <v>1179</v>
      </c>
      <c r="C108" s="16" t="str">
        <f t="shared" si="1"/>
        <v>Ram Singh</v>
      </c>
      <c r="D108" s="16" t="s">
        <v>897</v>
      </c>
      <c r="E108" s="16" t="s">
        <v>1220</v>
      </c>
      <c r="F108" s="16" t="s">
        <v>4</v>
      </c>
      <c r="G108" s="16" t="s">
        <v>1221</v>
      </c>
      <c r="H108" s="16"/>
    </row>
    <row r="109" spans="1:8" ht="25">
      <c r="A109" s="16" t="s">
        <v>1222</v>
      </c>
      <c r="B109" s="16" t="s">
        <v>4394</v>
      </c>
      <c r="C109" s="16" t="str">
        <f t="shared" si="1"/>
        <v xml:space="preserve">Balamrwt </v>
      </c>
      <c r="D109" s="16" t="s">
        <v>897</v>
      </c>
      <c r="E109" s="16" t="s">
        <v>1223</v>
      </c>
      <c r="F109" s="16" t="s">
        <v>4</v>
      </c>
      <c r="G109" s="16" t="s">
        <v>1224</v>
      </c>
      <c r="H109" s="16" t="s">
        <v>1225</v>
      </c>
    </row>
    <row r="110" spans="1:8" ht="25">
      <c r="A110" s="16" t="s">
        <v>1226</v>
      </c>
      <c r="B110" s="16" t="s">
        <v>4394</v>
      </c>
      <c r="C110" s="16" t="str">
        <f t="shared" si="1"/>
        <v xml:space="preserve">Cheryl </v>
      </c>
      <c r="D110" s="16" t="s">
        <v>897</v>
      </c>
      <c r="E110" s="16" t="s">
        <v>1227</v>
      </c>
      <c r="F110" s="16" t="s">
        <v>4</v>
      </c>
      <c r="G110" s="16" t="s">
        <v>842</v>
      </c>
      <c r="H110" s="16" t="s">
        <v>1228</v>
      </c>
    </row>
    <row r="111" spans="1:8" ht="25">
      <c r="A111" s="16" t="s">
        <v>352</v>
      </c>
      <c r="B111" s="16" t="s">
        <v>4394</v>
      </c>
      <c r="C111" s="16" t="str">
        <f t="shared" si="1"/>
        <v xml:space="preserve">LIM </v>
      </c>
      <c r="D111" s="16" t="s">
        <v>897</v>
      </c>
      <c r="E111" s="16" t="s">
        <v>1229</v>
      </c>
      <c r="F111" s="16" t="s">
        <v>4</v>
      </c>
      <c r="G111" s="16" t="s">
        <v>842</v>
      </c>
      <c r="H111" s="16" t="s">
        <v>1230</v>
      </c>
    </row>
    <row r="112" spans="1:8" ht="37.5">
      <c r="A112" s="16" t="s">
        <v>1231</v>
      </c>
      <c r="B112" s="16" t="s">
        <v>4394</v>
      </c>
      <c r="C112" s="16" t="str">
        <f t="shared" si="1"/>
        <v xml:space="preserve">Shaun </v>
      </c>
      <c r="D112" s="16" t="s">
        <v>897</v>
      </c>
      <c r="E112" s="16" t="s">
        <v>1232</v>
      </c>
      <c r="F112" s="16" t="s">
        <v>4</v>
      </c>
      <c r="G112" s="16" t="s">
        <v>842</v>
      </c>
      <c r="H112" s="16" t="s">
        <v>1233</v>
      </c>
    </row>
    <row r="113" spans="1:8" ht="37.5">
      <c r="A113" s="16" t="s">
        <v>355</v>
      </c>
      <c r="B113" s="16" t="s">
        <v>1234</v>
      </c>
      <c r="C113" s="16" t="str">
        <f t="shared" si="1"/>
        <v>Jason Soo</v>
      </c>
      <c r="D113" s="16" t="s">
        <v>897</v>
      </c>
      <c r="E113" s="16" t="s">
        <v>1235</v>
      </c>
      <c r="F113" s="16" t="s">
        <v>4</v>
      </c>
      <c r="G113" s="16" t="s">
        <v>1236</v>
      </c>
      <c r="H113" s="16" t="s">
        <v>1237</v>
      </c>
    </row>
    <row r="114" spans="1:8" ht="25">
      <c r="A114" s="16" t="s">
        <v>352</v>
      </c>
      <c r="B114" s="16" t="s">
        <v>4394</v>
      </c>
      <c r="C114" s="16" t="str">
        <f t="shared" si="1"/>
        <v xml:space="preserve">LIM </v>
      </c>
      <c r="D114" s="16" t="s">
        <v>897</v>
      </c>
      <c r="E114" s="16" t="s">
        <v>1216</v>
      </c>
      <c r="F114" s="16" t="s">
        <v>4</v>
      </c>
      <c r="G114" s="16" t="s">
        <v>1217</v>
      </c>
      <c r="H114" s="16" t="s">
        <v>1218</v>
      </c>
    </row>
    <row r="115" spans="1:8" ht="25">
      <c r="A115" s="16" t="s">
        <v>352</v>
      </c>
      <c r="B115" s="16" t="s">
        <v>4394</v>
      </c>
      <c r="C115" s="16" t="str">
        <f t="shared" si="1"/>
        <v xml:space="preserve">LIM </v>
      </c>
      <c r="D115" s="16" t="s">
        <v>897</v>
      </c>
      <c r="E115" s="16" t="s">
        <v>1238</v>
      </c>
      <c r="F115" s="16" t="s">
        <v>4</v>
      </c>
      <c r="G115" s="16" t="s">
        <v>842</v>
      </c>
      <c r="H115" s="16" t="s">
        <v>1239</v>
      </c>
    </row>
    <row r="116" spans="1:8" ht="25">
      <c r="A116" s="16" t="s">
        <v>355</v>
      </c>
      <c r="B116" s="16" t="s">
        <v>1234</v>
      </c>
      <c r="C116" s="16" t="str">
        <f t="shared" si="1"/>
        <v>Jason Soo</v>
      </c>
      <c r="D116" s="16" t="s">
        <v>897</v>
      </c>
      <c r="E116" s="16" t="s">
        <v>1240</v>
      </c>
      <c r="F116" s="16" t="s">
        <v>4</v>
      </c>
      <c r="G116" s="16" t="s">
        <v>1236</v>
      </c>
      <c r="H116" s="16" t="s">
        <v>1237</v>
      </c>
    </row>
    <row r="117" spans="1:8" ht="37.5">
      <c r="A117" s="16" t="s">
        <v>352</v>
      </c>
      <c r="B117" s="16" t="s">
        <v>4394</v>
      </c>
      <c r="C117" s="16" t="str">
        <f t="shared" si="1"/>
        <v xml:space="preserve">LIM </v>
      </c>
      <c r="D117" s="16" t="s">
        <v>897</v>
      </c>
      <c r="E117" s="16" t="s">
        <v>1241</v>
      </c>
      <c r="F117" s="16" t="s">
        <v>4</v>
      </c>
      <c r="G117" s="16" t="s">
        <v>1242</v>
      </c>
      <c r="H117" s="16" t="s">
        <v>1243</v>
      </c>
    </row>
    <row r="118" spans="1:8" ht="25">
      <c r="A118" s="16" t="s">
        <v>1244</v>
      </c>
      <c r="B118" s="16" t="s">
        <v>4394</v>
      </c>
      <c r="C118" s="16" t="str">
        <f t="shared" si="1"/>
        <v xml:space="preserve">Jaminechua </v>
      </c>
      <c r="D118" s="16" t="s">
        <v>897</v>
      </c>
      <c r="E118" s="16" t="s">
        <v>1245</v>
      </c>
      <c r="F118" s="16" t="s">
        <v>4</v>
      </c>
      <c r="G118" s="16" t="s">
        <v>1246</v>
      </c>
      <c r="H118" s="16" t="s">
        <v>1247</v>
      </c>
    </row>
    <row r="119" spans="1:8" ht="25">
      <c r="A119" s="16" t="s">
        <v>1248</v>
      </c>
      <c r="B119" s="16" t="s">
        <v>4394</v>
      </c>
      <c r="C119" s="16" t="str">
        <f t="shared" si="1"/>
        <v xml:space="preserve">Shermaine </v>
      </c>
      <c r="D119" s="16" t="s">
        <v>897</v>
      </c>
      <c r="E119" s="16" t="s">
        <v>1249</v>
      </c>
      <c r="F119" s="16" t="s">
        <v>4</v>
      </c>
      <c r="G119" s="16" t="s">
        <v>1250</v>
      </c>
      <c r="H119" s="16" t="s">
        <v>1251</v>
      </c>
    </row>
    <row r="120" spans="1:8" ht="25">
      <c r="A120" s="16" t="s">
        <v>352</v>
      </c>
      <c r="B120" s="16" t="s">
        <v>4394</v>
      </c>
      <c r="C120" s="16" t="str">
        <f t="shared" si="1"/>
        <v xml:space="preserve">LIM </v>
      </c>
      <c r="D120" s="16" t="s">
        <v>897</v>
      </c>
      <c r="E120" s="16" t="s">
        <v>1252</v>
      </c>
      <c r="F120" s="16" t="s">
        <v>4</v>
      </c>
      <c r="G120" s="16"/>
      <c r="H120" s="16">
        <v>6580000000</v>
      </c>
    </row>
    <row r="121" spans="1:8" ht="25">
      <c r="A121" s="16" t="s">
        <v>352</v>
      </c>
      <c r="B121" s="16" t="s">
        <v>4394</v>
      </c>
      <c r="C121" s="16" t="str">
        <f t="shared" si="1"/>
        <v xml:space="preserve">LIM </v>
      </c>
      <c r="D121" s="16" t="s">
        <v>897</v>
      </c>
      <c r="E121" s="16" t="s">
        <v>1253</v>
      </c>
      <c r="F121" s="16" t="s">
        <v>4</v>
      </c>
      <c r="G121" s="16"/>
      <c r="H121" s="16" t="s">
        <v>1254</v>
      </c>
    </row>
    <row r="122" spans="1:8" ht="25">
      <c r="A122" s="16" t="s">
        <v>1255</v>
      </c>
      <c r="B122" s="16" t="s">
        <v>4394</v>
      </c>
      <c r="C122" s="16" t="str">
        <f t="shared" si="1"/>
        <v xml:space="preserve">Esther </v>
      </c>
      <c r="D122" s="16" t="s">
        <v>897</v>
      </c>
      <c r="E122" s="16" t="s">
        <v>1256</v>
      </c>
      <c r="F122" s="16" t="s">
        <v>4</v>
      </c>
      <c r="G122" s="16" t="s">
        <v>1257</v>
      </c>
      <c r="H122" s="16" t="s">
        <v>1258</v>
      </c>
    </row>
    <row r="123" spans="1:8" ht="25">
      <c r="A123" s="16" t="s">
        <v>1259</v>
      </c>
      <c r="B123" s="16" t="s">
        <v>4394</v>
      </c>
      <c r="C123" s="16" t="str">
        <f t="shared" si="1"/>
        <v xml:space="preserve">shaoxinyi </v>
      </c>
      <c r="D123" s="16" t="s">
        <v>897</v>
      </c>
      <c r="E123" s="16" t="s">
        <v>1260</v>
      </c>
      <c r="F123" s="16" t="s">
        <v>4</v>
      </c>
      <c r="G123" s="16" t="s">
        <v>1261</v>
      </c>
      <c r="H123" s="16" t="s">
        <v>1262</v>
      </c>
    </row>
    <row r="124" spans="1:8" ht="25">
      <c r="A124" s="16" t="s">
        <v>352</v>
      </c>
      <c r="B124" s="16" t="s">
        <v>4394</v>
      </c>
      <c r="C124" s="16" t="str">
        <f t="shared" si="1"/>
        <v xml:space="preserve">LIM </v>
      </c>
      <c r="D124" s="16" t="s">
        <v>897</v>
      </c>
      <c r="E124" s="16" t="s">
        <v>1263</v>
      </c>
      <c r="F124" s="16" t="s">
        <v>4</v>
      </c>
      <c r="G124" s="16"/>
      <c r="H124" s="16" t="s">
        <v>1264</v>
      </c>
    </row>
    <row r="125" spans="1:8" ht="25">
      <c r="A125" s="16" t="s">
        <v>1265</v>
      </c>
      <c r="B125" s="16" t="s">
        <v>4394</v>
      </c>
      <c r="C125" s="16" t="str">
        <f t="shared" si="1"/>
        <v xml:space="preserve">limleyan </v>
      </c>
      <c r="D125" s="16" t="s">
        <v>897</v>
      </c>
      <c r="E125" s="16" t="s">
        <v>1266</v>
      </c>
      <c r="F125" s="16" t="s">
        <v>4</v>
      </c>
      <c r="G125" s="16" t="s">
        <v>1267</v>
      </c>
      <c r="H125" s="16">
        <v>93258892</v>
      </c>
    </row>
    <row r="126" spans="1:8" ht="25">
      <c r="A126" s="16" t="s">
        <v>1268</v>
      </c>
      <c r="B126" s="16" t="s">
        <v>4394</v>
      </c>
      <c r="C126" s="16" t="str">
        <f t="shared" si="1"/>
        <v xml:space="preserve">Avy </v>
      </c>
      <c r="D126" s="16" t="s">
        <v>897</v>
      </c>
      <c r="E126" s="16" t="s">
        <v>1269</v>
      </c>
      <c r="F126" s="16" t="s">
        <v>4</v>
      </c>
      <c r="G126" s="16" t="s">
        <v>1270</v>
      </c>
      <c r="H126" s="16">
        <v>81022900</v>
      </c>
    </row>
    <row r="127" spans="1:8" ht="25">
      <c r="A127" s="16" t="s">
        <v>1271</v>
      </c>
      <c r="B127" s="16" t="s">
        <v>1272</v>
      </c>
      <c r="C127" s="16" t="str">
        <f t="shared" si="1"/>
        <v>Christina willock</v>
      </c>
      <c r="D127" s="16" t="s">
        <v>897</v>
      </c>
      <c r="E127" s="16" t="s">
        <v>1273</v>
      </c>
      <c r="F127" s="16" t="s">
        <v>4</v>
      </c>
      <c r="G127" s="16" t="s">
        <v>1274</v>
      </c>
      <c r="H127" s="16" t="s">
        <v>1275</v>
      </c>
    </row>
    <row r="128" spans="1:8" ht="25">
      <c r="A128" s="16" t="s">
        <v>352</v>
      </c>
      <c r="B128" s="16" t="s">
        <v>4394</v>
      </c>
      <c r="C128" s="16" t="str">
        <f t="shared" si="1"/>
        <v xml:space="preserve">LIM </v>
      </c>
      <c r="D128" s="16" t="s">
        <v>897</v>
      </c>
      <c r="E128" s="16" t="s">
        <v>1276</v>
      </c>
      <c r="F128" s="16" t="s">
        <v>4</v>
      </c>
      <c r="G128" s="16"/>
      <c r="H128" s="16">
        <v>97924464</v>
      </c>
    </row>
    <row r="129" spans="1:8" ht="25">
      <c r="A129" s="16" t="s">
        <v>1277</v>
      </c>
      <c r="B129" s="16" t="s">
        <v>4394</v>
      </c>
      <c r="C129" s="16" t="str">
        <f t="shared" si="1"/>
        <v xml:space="preserve">glen </v>
      </c>
      <c r="D129" s="16" t="s">
        <v>897</v>
      </c>
      <c r="E129" s="16" t="s">
        <v>1278</v>
      </c>
      <c r="F129" s="16" t="s">
        <v>4</v>
      </c>
      <c r="G129" s="16" t="s">
        <v>1279</v>
      </c>
      <c r="H129" s="16" t="s">
        <v>1280</v>
      </c>
    </row>
    <row r="130" spans="1:8" ht="25">
      <c r="A130" s="16" t="s">
        <v>1170</v>
      </c>
      <c r="B130" s="16" t="s">
        <v>4394</v>
      </c>
      <c r="C130" s="16" t="str">
        <f t="shared" si="1"/>
        <v xml:space="preserve">Simon </v>
      </c>
      <c r="D130" s="16" t="s">
        <v>897</v>
      </c>
      <c r="E130" s="16" t="s">
        <v>1281</v>
      </c>
      <c r="F130" s="16" t="s">
        <v>4</v>
      </c>
      <c r="G130" s="16" t="s">
        <v>1282</v>
      </c>
      <c r="H130" s="16" t="s">
        <v>1283</v>
      </c>
    </row>
    <row r="131" spans="1:8" ht="25">
      <c r="A131" s="16" t="s">
        <v>1284</v>
      </c>
      <c r="B131" s="16" t="s">
        <v>4394</v>
      </c>
      <c r="C131" s="16" t="str">
        <f t="shared" ref="C131:C194" si="2">_xlfn.CONCAT(A131," ",B131)</f>
        <v xml:space="preserve">Tarun </v>
      </c>
      <c r="D131" s="16" t="s">
        <v>897</v>
      </c>
      <c r="E131" s="16" t="s">
        <v>1285</v>
      </c>
      <c r="F131" s="16" t="s">
        <v>4</v>
      </c>
      <c r="G131" s="16"/>
      <c r="H131" s="16" t="s">
        <v>1286</v>
      </c>
    </row>
    <row r="132" spans="1:8" ht="25">
      <c r="A132" s="16" t="s">
        <v>352</v>
      </c>
      <c r="B132" s="16" t="s">
        <v>4394</v>
      </c>
      <c r="C132" s="16" t="str">
        <f t="shared" si="2"/>
        <v xml:space="preserve">LIM </v>
      </c>
      <c r="D132" s="16" t="s">
        <v>897</v>
      </c>
      <c r="E132" s="16" t="s">
        <v>1287</v>
      </c>
      <c r="F132" s="16" t="s">
        <v>4</v>
      </c>
      <c r="G132" s="16" t="s">
        <v>1288</v>
      </c>
      <c r="H132" s="16" t="s">
        <v>1289</v>
      </c>
    </row>
    <row r="133" spans="1:8" ht="25">
      <c r="A133" s="16" t="s">
        <v>1290</v>
      </c>
      <c r="B133" s="16" t="s">
        <v>4394</v>
      </c>
      <c r="C133" s="16" t="str">
        <f t="shared" si="2"/>
        <v xml:space="preserve">Derek </v>
      </c>
      <c r="D133" s="16" t="s">
        <v>897</v>
      </c>
      <c r="E133" s="16" t="s">
        <v>1291</v>
      </c>
      <c r="F133" s="16" t="s">
        <v>4</v>
      </c>
      <c r="G133" s="16"/>
      <c r="H133" s="16" t="s">
        <v>1292</v>
      </c>
    </row>
    <row r="134" spans="1:8" ht="25">
      <c r="A134" s="16" t="s">
        <v>352</v>
      </c>
      <c r="B134" s="16" t="s">
        <v>4394</v>
      </c>
      <c r="C134" s="16" t="str">
        <f t="shared" si="2"/>
        <v xml:space="preserve">LIM </v>
      </c>
      <c r="D134" s="16" t="s">
        <v>897</v>
      </c>
      <c r="E134" s="16" t="s">
        <v>1293</v>
      </c>
      <c r="F134" s="16" t="s">
        <v>4</v>
      </c>
      <c r="G134" s="16" t="s">
        <v>1294</v>
      </c>
      <c r="H134" s="16" t="s">
        <v>1295</v>
      </c>
    </row>
    <row r="135" spans="1:8" ht="37.5">
      <c r="A135" s="16" t="s">
        <v>352</v>
      </c>
      <c r="B135" s="16" t="s">
        <v>4394</v>
      </c>
      <c r="C135" s="16" t="str">
        <f t="shared" si="2"/>
        <v xml:space="preserve">LIM </v>
      </c>
      <c r="D135" s="16" t="s">
        <v>897</v>
      </c>
      <c r="E135" s="16" t="s">
        <v>1296</v>
      </c>
      <c r="F135" s="16" t="s">
        <v>4</v>
      </c>
      <c r="G135" s="16"/>
      <c r="H135" s="16" t="s">
        <v>1297</v>
      </c>
    </row>
    <row r="136" spans="1:8" ht="25">
      <c r="A136" s="16" t="s">
        <v>1284</v>
      </c>
      <c r="B136" s="16" t="s">
        <v>4394</v>
      </c>
      <c r="C136" s="16" t="str">
        <f t="shared" si="2"/>
        <v xml:space="preserve">Tarun </v>
      </c>
      <c r="D136" s="16" t="s">
        <v>897</v>
      </c>
      <c r="E136" s="16" t="s">
        <v>1285</v>
      </c>
      <c r="F136" s="16" t="s">
        <v>4</v>
      </c>
      <c r="G136" s="16"/>
      <c r="H136" s="16" t="s">
        <v>1298</v>
      </c>
    </row>
    <row r="137" spans="1:8" ht="37.5">
      <c r="A137" s="16" t="s">
        <v>1299</v>
      </c>
      <c r="B137" s="16" t="s">
        <v>4394</v>
      </c>
      <c r="C137" s="16" t="str">
        <f t="shared" si="2"/>
        <v xml:space="preserve">Tiane The </v>
      </c>
      <c r="D137" s="16" t="s">
        <v>897</v>
      </c>
      <c r="E137" s="16" t="s">
        <v>1300</v>
      </c>
      <c r="F137" s="16" t="s">
        <v>4</v>
      </c>
      <c r="G137" s="16" t="s">
        <v>1301</v>
      </c>
      <c r="H137" s="16"/>
    </row>
    <row r="138" spans="1:8" ht="25">
      <c r="A138" s="16" t="s">
        <v>1302</v>
      </c>
      <c r="B138" s="16" t="s">
        <v>1303</v>
      </c>
      <c r="C138" s="16" t="str">
        <f t="shared" si="2"/>
        <v>Jimmy Chin</v>
      </c>
      <c r="D138" s="16" t="s">
        <v>897</v>
      </c>
      <c r="E138" s="16" t="s">
        <v>1304</v>
      </c>
      <c r="F138" s="16" t="s">
        <v>4</v>
      </c>
      <c r="G138" s="16" t="s">
        <v>1305</v>
      </c>
      <c r="H138" s="16">
        <v>96363886</v>
      </c>
    </row>
    <row r="139" spans="1:8" ht="25">
      <c r="A139" s="16" t="s">
        <v>352</v>
      </c>
      <c r="B139" s="16" t="s">
        <v>4394</v>
      </c>
      <c r="C139" s="16" t="str">
        <f t="shared" si="2"/>
        <v xml:space="preserve">LIM </v>
      </c>
      <c r="D139" s="16" t="s">
        <v>897</v>
      </c>
      <c r="E139" s="16" t="s">
        <v>1306</v>
      </c>
      <c r="F139" s="16" t="s">
        <v>4</v>
      </c>
      <c r="G139" s="16" t="s">
        <v>1307</v>
      </c>
      <c r="H139" s="16" t="s">
        <v>1308</v>
      </c>
    </row>
    <row r="140" spans="1:8" ht="37.5">
      <c r="A140" s="16" t="s">
        <v>1309</v>
      </c>
      <c r="B140" s="16" t="s">
        <v>4394</v>
      </c>
      <c r="C140" s="16" t="str">
        <f t="shared" si="2"/>
        <v xml:space="preserve">krislynwong </v>
      </c>
      <c r="D140" s="16" t="s">
        <v>897</v>
      </c>
      <c r="E140" s="16" t="s">
        <v>1310</v>
      </c>
      <c r="F140" s="16" t="s">
        <v>4</v>
      </c>
      <c r="G140" s="16" t="s">
        <v>1311</v>
      </c>
      <c r="H140" s="16" t="s">
        <v>1312</v>
      </c>
    </row>
    <row r="141" spans="1:8" ht="37.5">
      <c r="A141" s="16" t="s">
        <v>1313</v>
      </c>
      <c r="B141" s="16" t="s">
        <v>1314</v>
      </c>
      <c r="C141" s="16" t="str">
        <f t="shared" si="2"/>
        <v>Dax taparan</v>
      </c>
      <c r="D141" s="16" t="s">
        <v>897</v>
      </c>
      <c r="E141" s="16" t="s">
        <v>1315</v>
      </c>
      <c r="F141" s="16" t="s">
        <v>4</v>
      </c>
      <c r="G141" s="16" t="s">
        <v>1316</v>
      </c>
      <c r="H141" s="16"/>
    </row>
    <row r="142" spans="1:8" ht="25">
      <c r="A142" s="16" t="s">
        <v>352</v>
      </c>
      <c r="B142" s="16" t="s">
        <v>4394</v>
      </c>
      <c r="C142" s="16" t="str">
        <f t="shared" si="2"/>
        <v xml:space="preserve">LIM </v>
      </c>
      <c r="D142" s="16" t="s">
        <v>897</v>
      </c>
      <c r="E142" s="16" t="s">
        <v>1317</v>
      </c>
      <c r="F142" s="16" t="s">
        <v>4</v>
      </c>
      <c r="G142" s="16"/>
      <c r="H142" s="16" t="s">
        <v>1318</v>
      </c>
    </row>
    <row r="143" spans="1:8" ht="25">
      <c r="A143" s="16" t="s">
        <v>1319</v>
      </c>
      <c r="B143" s="16" t="s">
        <v>4394</v>
      </c>
      <c r="C143" s="16" t="str">
        <f t="shared" si="2"/>
        <v xml:space="preserve">Tony </v>
      </c>
      <c r="D143" s="16" t="s">
        <v>897</v>
      </c>
      <c r="E143" s="16" t="s">
        <v>1320</v>
      </c>
      <c r="F143" s="16" t="s">
        <v>4</v>
      </c>
      <c r="G143" s="16"/>
      <c r="H143" s="16" t="s">
        <v>1321</v>
      </c>
    </row>
    <row r="144" spans="1:8" ht="25">
      <c r="A144" s="16" t="s">
        <v>1322</v>
      </c>
      <c r="B144" s="16" t="s">
        <v>4394</v>
      </c>
      <c r="C144" s="16" t="str">
        <f t="shared" si="2"/>
        <v xml:space="preserve">KC </v>
      </c>
      <c r="D144" s="16" t="s">
        <v>897</v>
      </c>
      <c r="E144" s="16" t="s">
        <v>1323</v>
      </c>
      <c r="F144" s="16" t="s">
        <v>4</v>
      </c>
      <c r="G144" s="16"/>
      <c r="H144" s="16" t="s">
        <v>1324</v>
      </c>
    </row>
    <row r="145" spans="1:8" ht="25">
      <c r="A145" s="16" t="s">
        <v>1325</v>
      </c>
      <c r="B145" s="16" t="s">
        <v>1303</v>
      </c>
      <c r="C145" s="16" t="str">
        <f t="shared" si="2"/>
        <v>Esther  Chin</v>
      </c>
      <c r="D145" s="16" t="s">
        <v>897</v>
      </c>
      <c r="E145" s="16" t="s">
        <v>1326</v>
      </c>
      <c r="F145" s="16" t="s">
        <v>4</v>
      </c>
      <c r="G145" s="16" t="s">
        <v>1257</v>
      </c>
      <c r="H145" s="16" t="s">
        <v>1327</v>
      </c>
    </row>
    <row r="146" spans="1:8" ht="25">
      <c r="A146" s="16" t="s">
        <v>1328</v>
      </c>
      <c r="B146" s="16" t="s">
        <v>4394</v>
      </c>
      <c r="C146" s="16" t="str">
        <f t="shared" si="2"/>
        <v xml:space="preserve">Tsutsuitaki </v>
      </c>
      <c r="D146" s="16" t="s">
        <v>897</v>
      </c>
      <c r="E146" s="16" t="s">
        <v>1329</v>
      </c>
      <c r="F146" s="16" t="s">
        <v>4</v>
      </c>
      <c r="G146" s="16" t="s">
        <v>1330</v>
      </c>
      <c r="H146" s="16">
        <v>92994877</v>
      </c>
    </row>
    <row r="147" spans="1:8" ht="25">
      <c r="A147" s="16" t="s">
        <v>1226</v>
      </c>
      <c r="B147" s="16" t="s">
        <v>4394</v>
      </c>
      <c r="C147" s="16" t="str">
        <f t="shared" si="2"/>
        <v xml:space="preserve">Cheryl </v>
      </c>
      <c r="D147" s="16" t="s">
        <v>897</v>
      </c>
      <c r="E147" s="16" t="s">
        <v>1331</v>
      </c>
      <c r="F147" s="16" t="s">
        <v>4</v>
      </c>
      <c r="G147" s="16" t="s">
        <v>1332</v>
      </c>
      <c r="H147" s="16">
        <v>91168992</v>
      </c>
    </row>
    <row r="148" spans="1:8" ht="25">
      <c r="A148" s="16" t="s">
        <v>1333</v>
      </c>
      <c r="B148" s="16" t="s">
        <v>4394</v>
      </c>
      <c r="C148" s="16" t="str">
        <f t="shared" si="2"/>
        <v xml:space="preserve">Charissa </v>
      </c>
      <c r="D148" s="16" t="s">
        <v>897</v>
      </c>
      <c r="E148" s="16" t="s">
        <v>1334</v>
      </c>
      <c r="F148" s="16" t="s">
        <v>4</v>
      </c>
      <c r="G148" s="16" t="s">
        <v>1335</v>
      </c>
      <c r="H148" s="16">
        <v>93806665</v>
      </c>
    </row>
    <row r="149" spans="1:8" ht="25">
      <c r="A149" s="16" t="s">
        <v>1336</v>
      </c>
      <c r="B149" s="16" t="s">
        <v>4394</v>
      </c>
      <c r="C149" s="16" t="str">
        <f t="shared" si="2"/>
        <v xml:space="preserve">Junyi </v>
      </c>
      <c r="D149" s="16" t="s">
        <v>897</v>
      </c>
      <c r="E149" s="16" t="s">
        <v>1337</v>
      </c>
      <c r="F149" s="16" t="s">
        <v>4</v>
      </c>
      <c r="G149" s="16" t="s">
        <v>1338</v>
      </c>
      <c r="H149" s="16">
        <v>98328421</v>
      </c>
    </row>
    <row r="150" spans="1:8" ht="25">
      <c r="A150" s="16" t="s">
        <v>1339</v>
      </c>
      <c r="B150" s="16" t="s">
        <v>1340</v>
      </c>
      <c r="C150" s="16" t="str">
        <f t="shared" si="2"/>
        <v>Karchiet loh</v>
      </c>
      <c r="D150" s="16" t="s">
        <v>897</v>
      </c>
      <c r="E150" s="16" t="s">
        <v>1341</v>
      </c>
      <c r="F150" s="16" t="s">
        <v>4</v>
      </c>
      <c r="G150" s="16" t="s">
        <v>1342</v>
      </c>
      <c r="H150" s="16">
        <v>91068413</v>
      </c>
    </row>
    <row r="151" spans="1:8" ht="25">
      <c r="A151" s="16" t="s">
        <v>352</v>
      </c>
      <c r="B151" s="16" t="s">
        <v>4394</v>
      </c>
      <c r="C151" s="16" t="str">
        <f t="shared" si="2"/>
        <v xml:space="preserve">LIM </v>
      </c>
      <c r="D151" s="16" t="s">
        <v>897</v>
      </c>
      <c r="E151" s="16" t="s">
        <v>1343</v>
      </c>
      <c r="F151" s="16" t="s">
        <v>4</v>
      </c>
      <c r="G151" s="16" t="s">
        <v>1344</v>
      </c>
      <c r="H151" s="16">
        <v>97825108</v>
      </c>
    </row>
    <row r="152" spans="1:8" ht="25">
      <c r="A152" s="16" t="s">
        <v>1345</v>
      </c>
      <c r="B152" s="16" t="s">
        <v>4394</v>
      </c>
      <c r="C152" s="16" t="str">
        <f t="shared" si="2"/>
        <v xml:space="preserve">Lina </v>
      </c>
      <c r="D152" s="16" t="s">
        <v>897</v>
      </c>
      <c r="E152" s="16" t="s">
        <v>1346</v>
      </c>
      <c r="F152" s="16" t="s">
        <v>4</v>
      </c>
      <c r="G152" s="16" t="s">
        <v>1347</v>
      </c>
      <c r="H152" s="16">
        <v>83567233</v>
      </c>
    </row>
    <row r="153" spans="1:8" ht="25">
      <c r="A153" s="16" t="s">
        <v>352</v>
      </c>
      <c r="B153" s="16" t="s">
        <v>4394</v>
      </c>
      <c r="C153" s="16" t="str">
        <f t="shared" si="2"/>
        <v xml:space="preserve">LIM </v>
      </c>
      <c r="D153" s="16" t="s">
        <v>897</v>
      </c>
      <c r="E153" s="16" t="s">
        <v>1348</v>
      </c>
      <c r="F153" s="16" t="s">
        <v>4</v>
      </c>
      <c r="G153" s="16" t="s">
        <v>1349</v>
      </c>
      <c r="H153" s="16">
        <v>92262683</v>
      </c>
    </row>
    <row r="154" spans="1:8" ht="25">
      <c r="A154" s="16" t="s">
        <v>1350</v>
      </c>
      <c r="B154" s="16" t="s">
        <v>4394</v>
      </c>
      <c r="C154" s="16" t="str">
        <f t="shared" si="2"/>
        <v xml:space="preserve">Diandinhq </v>
      </c>
      <c r="D154" s="16" t="s">
        <v>897</v>
      </c>
      <c r="E154" s="16" t="s">
        <v>1351</v>
      </c>
      <c r="F154" s="16" t="s">
        <v>4</v>
      </c>
      <c r="G154" s="16" t="s">
        <v>1352</v>
      </c>
      <c r="H154" s="16">
        <v>86060118</v>
      </c>
    </row>
    <row r="155" spans="1:8" ht="25">
      <c r="A155" s="16" t="s">
        <v>352</v>
      </c>
      <c r="B155" s="16" t="s">
        <v>4394</v>
      </c>
      <c r="C155" s="16" t="str">
        <f t="shared" si="2"/>
        <v xml:space="preserve">LIM </v>
      </c>
      <c r="D155" s="16" t="s">
        <v>897</v>
      </c>
      <c r="E155" s="16" t="s">
        <v>1353</v>
      </c>
      <c r="F155" s="16" t="s">
        <v>4</v>
      </c>
      <c r="G155" s="16" t="s">
        <v>1354</v>
      </c>
      <c r="H155" s="16">
        <v>88153521</v>
      </c>
    </row>
    <row r="156" spans="1:8" ht="25">
      <c r="A156" s="16" t="s">
        <v>352</v>
      </c>
      <c r="B156" s="16" t="s">
        <v>4394</v>
      </c>
      <c r="C156" s="16" t="str">
        <f t="shared" si="2"/>
        <v xml:space="preserve">LIM </v>
      </c>
      <c r="D156" s="16" t="s">
        <v>897</v>
      </c>
      <c r="E156" s="16" t="s">
        <v>1355</v>
      </c>
      <c r="F156" s="16" t="s">
        <v>4</v>
      </c>
      <c r="G156" s="16" t="s">
        <v>1356</v>
      </c>
      <c r="H156" s="16">
        <v>97730869</v>
      </c>
    </row>
    <row r="157" spans="1:8" ht="25">
      <c r="A157" s="16" t="s">
        <v>1357</v>
      </c>
      <c r="B157" s="16" t="s">
        <v>4394</v>
      </c>
      <c r="C157" s="16" t="str">
        <f t="shared" si="2"/>
        <v xml:space="preserve">Amy </v>
      </c>
      <c r="D157" s="16" t="s">
        <v>897</v>
      </c>
      <c r="E157" s="16" t="s">
        <v>1358</v>
      </c>
      <c r="F157" s="16" t="s">
        <v>4</v>
      </c>
      <c r="G157" s="16" t="s">
        <v>1359</v>
      </c>
      <c r="H157" s="16">
        <v>82238822</v>
      </c>
    </row>
    <row r="158" spans="1:8" ht="25">
      <c r="A158" s="16" t="s">
        <v>1360</v>
      </c>
      <c r="B158" s="16" t="s">
        <v>4394</v>
      </c>
      <c r="C158" s="16" t="str">
        <f t="shared" si="2"/>
        <v xml:space="preserve">Ali </v>
      </c>
      <c r="D158" s="16" t="s">
        <v>897</v>
      </c>
      <c r="E158" s="16" t="s">
        <v>1361</v>
      </c>
      <c r="F158" s="16" t="s">
        <v>1362</v>
      </c>
      <c r="G158" s="16" t="s">
        <v>1363</v>
      </c>
      <c r="H158" s="16">
        <v>6593878824</v>
      </c>
    </row>
    <row r="159" spans="1:8" ht="25">
      <c r="A159" s="16" t="s">
        <v>1364</v>
      </c>
      <c r="B159" s="16" t="s">
        <v>1365</v>
      </c>
      <c r="C159" s="16" t="str">
        <f t="shared" si="2"/>
        <v>Vipul Deshmukh</v>
      </c>
      <c r="D159" s="16" t="s">
        <v>897</v>
      </c>
      <c r="E159" s="16" t="s">
        <v>1366</v>
      </c>
      <c r="F159" s="16" t="s">
        <v>4</v>
      </c>
      <c r="G159" s="16" t="s">
        <v>1367</v>
      </c>
      <c r="H159" s="16">
        <v>98434650</v>
      </c>
    </row>
    <row r="160" spans="1:8" ht="25">
      <c r="A160" s="16" t="s">
        <v>1368</v>
      </c>
      <c r="B160" s="16" t="s">
        <v>4394</v>
      </c>
      <c r="C160" s="16" t="str">
        <f t="shared" si="2"/>
        <v xml:space="preserve">Uchida </v>
      </c>
      <c r="D160" s="16" t="s">
        <v>897</v>
      </c>
      <c r="E160" s="16" t="s">
        <v>1369</v>
      </c>
      <c r="F160" s="16" t="s">
        <v>4</v>
      </c>
      <c r="G160" s="16" t="s">
        <v>1370</v>
      </c>
      <c r="H160" s="16" t="s">
        <v>1371</v>
      </c>
    </row>
    <row r="161" spans="1:8" ht="25">
      <c r="A161" s="16" t="s">
        <v>1372</v>
      </c>
      <c r="B161" s="16" t="s">
        <v>1373</v>
      </c>
      <c r="C161" s="16" t="str">
        <f t="shared" si="2"/>
        <v>Alexander  Kho</v>
      </c>
      <c r="D161" s="16" t="s">
        <v>897</v>
      </c>
      <c r="E161" s="16" t="s">
        <v>1374</v>
      </c>
      <c r="F161" s="16" t="s">
        <v>4</v>
      </c>
      <c r="G161" s="16" t="s">
        <v>1375</v>
      </c>
      <c r="H161" s="16" t="s">
        <v>1376</v>
      </c>
    </row>
    <row r="162" spans="1:8" ht="25">
      <c r="A162" s="16" t="s">
        <v>1377</v>
      </c>
      <c r="B162" s="16" t="s">
        <v>1378</v>
      </c>
      <c r="C162" s="16" t="str">
        <f t="shared" si="2"/>
        <v>Deonne Quek</v>
      </c>
      <c r="D162" s="16" t="s">
        <v>897</v>
      </c>
      <c r="E162" s="16" t="s">
        <v>1379</v>
      </c>
      <c r="F162" s="16" t="s">
        <v>4</v>
      </c>
      <c r="G162" s="16" t="s">
        <v>1380</v>
      </c>
      <c r="H162" s="16">
        <v>82000931</v>
      </c>
    </row>
    <row r="163" spans="1:8" ht="25">
      <c r="A163" s="16" t="s">
        <v>1372</v>
      </c>
      <c r="B163" s="16" t="s">
        <v>1373</v>
      </c>
      <c r="C163" s="16" t="str">
        <f t="shared" si="2"/>
        <v>Alexander  Kho</v>
      </c>
      <c r="D163" s="16" t="s">
        <v>897</v>
      </c>
      <c r="E163" s="16" t="s">
        <v>1374</v>
      </c>
      <c r="F163" s="16" t="s">
        <v>4</v>
      </c>
      <c r="G163" s="16" t="s">
        <v>1375</v>
      </c>
      <c r="H163" s="16" t="s">
        <v>1381</v>
      </c>
    </row>
    <row r="164" spans="1:8" ht="25">
      <c r="A164" s="16" t="s">
        <v>352</v>
      </c>
      <c r="B164" s="16" t="s">
        <v>4394</v>
      </c>
      <c r="C164" s="16" t="str">
        <f t="shared" si="2"/>
        <v xml:space="preserve">LIM </v>
      </c>
      <c r="D164" s="16" t="s">
        <v>897</v>
      </c>
      <c r="E164" s="16" t="s">
        <v>1382</v>
      </c>
      <c r="F164" s="16" t="s">
        <v>4</v>
      </c>
      <c r="G164" s="16"/>
      <c r="H164" s="16" t="s">
        <v>1383</v>
      </c>
    </row>
    <row r="165" spans="1:8" ht="25">
      <c r="A165" s="16" t="s">
        <v>1384</v>
      </c>
      <c r="B165" s="16" t="s">
        <v>1378</v>
      </c>
      <c r="C165" s="16" t="str">
        <f t="shared" si="2"/>
        <v>Deonnequek Quek</v>
      </c>
      <c r="D165" s="16" t="s">
        <v>897</v>
      </c>
      <c r="E165" s="16" t="s">
        <v>1385</v>
      </c>
      <c r="F165" s="16" t="s">
        <v>4</v>
      </c>
      <c r="G165" s="16" t="s">
        <v>1380</v>
      </c>
      <c r="H165" s="16">
        <v>82000931</v>
      </c>
    </row>
    <row r="166" spans="1:8" ht="25">
      <c r="A166" s="16" t="s">
        <v>1386</v>
      </c>
      <c r="B166" s="16" t="s">
        <v>4394</v>
      </c>
      <c r="C166" s="16" t="str">
        <f t="shared" si="2"/>
        <v xml:space="preserve">Jessoh </v>
      </c>
      <c r="D166" s="16" t="s">
        <v>897</v>
      </c>
      <c r="E166" s="16" t="s">
        <v>1387</v>
      </c>
      <c r="F166" s="16" t="s">
        <v>4</v>
      </c>
      <c r="G166" s="16" t="s">
        <v>1388</v>
      </c>
      <c r="H166" s="16">
        <v>87530512</v>
      </c>
    </row>
    <row r="167" spans="1:8" ht="37.5">
      <c r="A167" s="16" t="s">
        <v>937</v>
      </c>
      <c r="B167" s="16" t="s">
        <v>1389</v>
      </c>
      <c r="C167" s="16" t="str">
        <f t="shared" si="2"/>
        <v>Matthew poh</v>
      </c>
      <c r="D167" s="16" t="s">
        <v>897</v>
      </c>
      <c r="E167" s="16" t="s">
        <v>1390</v>
      </c>
      <c r="F167" s="16" t="s">
        <v>4</v>
      </c>
      <c r="G167" s="16" t="s">
        <v>940</v>
      </c>
      <c r="H167" s="16">
        <v>81020100</v>
      </c>
    </row>
    <row r="168" spans="1:8" ht="37.5">
      <c r="A168" s="16" t="s">
        <v>1391</v>
      </c>
      <c r="B168" s="16" t="s">
        <v>1392</v>
      </c>
      <c r="C168" s="16" t="str">
        <f t="shared" si="2"/>
        <v>Syahir Syazwan Abdul Rahman</v>
      </c>
      <c r="D168" s="16" t="s">
        <v>897</v>
      </c>
      <c r="E168" s="16" t="s">
        <v>1393</v>
      </c>
      <c r="F168" s="16" t="s">
        <v>4</v>
      </c>
      <c r="G168" s="16" t="s">
        <v>1394</v>
      </c>
      <c r="H168" s="16">
        <v>67088883</v>
      </c>
    </row>
    <row r="169" spans="1:8" ht="25">
      <c r="A169" s="16" t="s">
        <v>515</v>
      </c>
      <c r="B169" s="16" t="s">
        <v>1395</v>
      </c>
      <c r="C169" s="16" t="str">
        <f t="shared" si="2"/>
        <v>Charlie Hu</v>
      </c>
      <c r="D169" s="16" t="s">
        <v>897</v>
      </c>
      <c r="E169" s="16" t="s">
        <v>1396</v>
      </c>
      <c r="F169" s="16" t="s">
        <v>4</v>
      </c>
      <c r="G169" s="16" t="s">
        <v>1397</v>
      </c>
      <c r="H169" s="16">
        <v>90307027</v>
      </c>
    </row>
    <row r="170" spans="1:8" ht="25">
      <c r="A170" s="16" t="s">
        <v>1398</v>
      </c>
      <c r="B170" s="16" t="s">
        <v>1399</v>
      </c>
      <c r="C170" s="16" t="str">
        <f t="shared" si="2"/>
        <v>Farhan Samad</v>
      </c>
      <c r="D170" s="16" t="s">
        <v>897</v>
      </c>
      <c r="E170" s="16" t="s">
        <v>1400</v>
      </c>
      <c r="F170" s="16" t="s">
        <v>4</v>
      </c>
      <c r="G170" s="16" t="s">
        <v>1401</v>
      </c>
      <c r="H170" s="16">
        <v>87530294</v>
      </c>
    </row>
    <row r="171" spans="1:8" ht="25">
      <c r="A171" s="16" t="s">
        <v>1402</v>
      </c>
      <c r="B171" s="16" t="s">
        <v>1403</v>
      </c>
      <c r="C171" s="16" t="str">
        <f t="shared" si="2"/>
        <v>Nina Williams</v>
      </c>
      <c r="D171" s="16" t="s">
        <v>897</v>
      </c>
      <c r="E171" s="16" t="s">
        <v>1404</v>
      </c>
      <c r="F171" s="16" t="s">
        <v>4</v>
      </c>
      <c r="G171" s="16" t="s">
        <v>1405</v>
      </c>
      <c r="H171" s="16">
        <v>94237422</v>
      </c>
    </row>
    <row r="172" spans="1:8" ht="25">
      <c r="A172" s="16" t="s">
        <v>1406</v>
      </c>
      <c r="B172" s="16" t="s">
        <v>821</v>
      </c>
      <c r="C172" s="16" t="str">
        <f t="shared" si="2"/>
        <v>Diann Lee</v>
      </c>
      <c r="D172" s="16" t="s">
        <v>897</v>
      </c>
      <c r="E172" s="16" t="s">
        <v>1407</v>
      </c>
      <c r="F172" s="16" t="s">
        <v>4</v>
      </c>
      <c r="G172" s="16" t="s">
        <v>1408</v>
      </c>
      <c r="H172" s="16">
        <v>93697552</v>
      </c>
    </row>
    <row r="173" spans="1:8" ht="37.5">
      <c r="A173" s="16" t="s">
        <v>1409</v>
      </c>
      <c r="B173" s="16" t="s">
        <v>4394</v>
      </c>
      <c r="C173" s="16" t="str">
        <f t="shared" si="2"/>
        <v xml:space="preserve">Aida </v>
      </c>
      <c r="D173" s="16" t="s">
        <v>897</v>
      </c>
      <c r="E173" s="16" t="s">
        <v>1410</v>
      </c>
      <c r="F173" s="16" t="s">
        <v>4</v>
      </c>
      <c r="G173" s="16" t="s">
        <v>1411</v>
      </c>
      <c r="H173" s="16" t="s">
        <v>1412</v>
      </c>
    </row>
    <row r="174" spans="1:8" ht="25">
      <c r="A174" s="16" t="s">
        <v>1413</v>
      </c>
      <c r="B174" s="16" t="s">
        <v>1414</v>
      </c>
      <c r="C174" s="16" t="str">
        <f t="shared" si="2"/>
        <v>Joe Woo</v>
      </c>
      <c r="D174" s="16" t="s">
        <v>897</v>
      </c>
      <c r="E174" s="16" t="s">
        <v>1415</v>
      </c>
      <c r="F174" s="16" t="s">
        <v>4</v>
      </c>
      <c r="G174" s="16" t="s">
        <v>1416</v>
      </c>
      <c r="H174" s="16" t="s">
        <v>1417</v>
      </c>
    </row>
    <row r="175" spans="1:8" ht="25">
      <c r="A175" s="16" t="s">
        <v>352</v>
      </c>
      <c r="B175" s="16" t="s">
        <v>4394</v>
      </c>
      <c r="C175" s="16" t="str">
        <f t="shared" si="2"/>
        <v xml:space="preserve">LIM </v>
      </c>
      <c r="D175" s="16" t="s">
        <v>897</v>
      </c>
      <c r="E175" s="16" t="s">
        <v>1418</v>
      </c>
      <c r="F175" s="16" t="s">
        <v>4</v>
      </c>
      <c r="G175" s="16" t="s">
        <v>1419</v>
      </c>
      <c r="H175" s="16" t="s">
        <v>1420</v>
      </c>
    </row>
    <row r="176" spans="1:8" ht="37.5">
      <c r="A176" s="16" t="s">
        <v>1421</v>
      </c>
      <c r="B176" s="16" t="s">
        <v>1422</v>
      </c>
      <c r="C176" s="16" t="str">
        <f t="shared" si="2"/>
        <v xml:space="preserve">
April Mol SUMAN</v>
      </c>
      <c r="D176" s="16" t="s">
        <v>897</v>
      </c>
      <c r="E176" s="16" t="s">
        <v>1423</v>
      </c>
      <c r="F176" s="16" t="s">
        <v>4</v>
      </c>
      <c r="G176" s="16" t="s">
        <v>1424</v>
      </c>
      <c r="H176" s="16">
        <v>91502746</v>
      </c>
    </row>
    <row r="177" spans="1:8" ht="25">
      <c r="A177" s="16" t="s">
        <v>352</v>
      </c>
      <c r="B177" s="16" t="s">
        <v>4394</v>
      </c>
      <c r="C177" s="16" t="str">
        <f t="shared" si="2"/>
        <v xml:space="preserve">LIM </v>
      </c>
      <c r="D177" s="16" t="s">
        <v>897</v>
      </c>
      <c r="E177" s="16" t="s">
        <v>1425</v>
      </c>
      <c r="F177" s="16" t="s">
        <v>4</v>
      </c>
      <c r="G177" s="16"/>
      <c r="H177" s="16" t="s">
        <v>1426</v>
      </c>
    </row>
    <row r="178" spans="1:8" ht="25">
      <c r="A178" s="16" t="s">
        <v>1427</v>
      </c>
      <c r="B178" s="16" t="s">
        <v>1428</v>
      </c>
      <c r="C178" s="16" t="str">
        <f t="shared" si="2"/>
        <v>Nan Zhang</v>
      </c>
      <c r="D178" s="16" t="s">
        <v>897</v>
      </c>
      <c r="E178" s="16" t="s">
        <v>1429</v>
      </c>
      <c r="F178" s="16" t="s">
        <v>4</v>
      </c>
      <c r="G178" s="16" t="s">
        <v>1430</v>
      </c>
      <c r="H178" s="16">
        <v>8613488669359</v>
      </c>
    </row>
    <row r="179" spans="1:8" ht="25">
      <c r="A179" s="16" t="s">
        <v>352</v>
      </c>
      <c r="B179" s="16" t="s">
        <v>4394</v>
      </c>
      <c r="C179" s="16" t="str">
        <f t="shared" si="2"/>
        <v xml:space="preserve">LIM </v>
      </c>
      <c r="D179" s="16" t="s">
        <v>897</v>
      </c>
      <c r="E179" s="16" t="s">
        <v>1431</v>
      </c>
      <c r="F179" s="16" t="s">
        <v>4</v>
      </c>
      <c r="G179" s="16" t="s">
        <v>1432</v>
      </c>
      <c r="H179" s="16">
        <v>97303048</v>
      </c>
    </row>
    <row r="180" spans="1:8" ht="25">
      <c r="A180" s="16" t="s">
        <v>1433</v>
      </c>
      <c r="B180" s="16" t="s">
        <v>329</v>
      </c>
      <c r="C180" s="16" t="str">
        <f t="shared" si="2"/>
        <v>Germaine Neo</v>
      </c>
      <c r="D180" s="16" t="s">
        <v>897</v>
      </c>
      <c r="E180" s="16" t="s">
        <v>1434</v>
      </c>
      <c r="F180" s="16" t="s">
        <v>4</v>
      </c>
      <c r="G180" s="16" t="s">
        <v>1435</v>
      </c>
      <c r="H180" s="16">
        <v>98535041</v>
      </c>
    </row>
    <row r="181" spans="1:8" ht="25">
      <c r="A181" s="16" t="s">
        <v>1436</v>
      </c>
      <c r="B181" s="16" t="s">
        <v>1437</v>
      </c>
      <c r="C181" s="16" t="str">
        <f t="shared" si="2"/>
        <v>Enrico Sto Domingo</v>
      </c>
      <c r="D181" s="16" t="s">
        <v>897</v>
      </c>
      <c r="E181" s="16" t="s">
        <v>1438</v>
      </c>
      <c r="F181" s="16" t="s">
        <v>4</v>
      </c>
      <c r="G181" s="16" t="s">
        <v>1439</v>
      </c>
      <c r="H181" s="16">
        <v>96362310</v>
      </c>
    </row>
    <row r="182" spans="1:8" ht="25">
      <c r="A182" s="16" t="s">
        <v>1440</v>
      </c>
      <c r="B182" s="16" t="s">
        <v>4394</v>
      </c>
      <c r="C182" s="16" t="str">
        <f t="shared" si="2"/>
        <v xml:space="preserve">Mr Sahbas </v>
      </c>
      <c r="D182" s="16" t="s">
        <v>897</v>
      </c>
      <c r="E182" s="16" t="s">
        <v>1441</v>
      </c>
      <c r="F182" s="16" t="s">
        <v>4</v>
      </c>
      <c r="G182" s="16"/>
      <c r="H182" s="16" t="s">
        <v>1442</v>
      </c>
    </row>
    <row r="183" spans="1:8" ht="25">
      <c r="A183" s="16" t="s">
        <v>1443</v>
      </c>
      <c r="B183" s="16" t="s">
        <v>372</v>
      </c>
      <c r="C183" s="16" t="str">
        <f t="shared" si="2"/>
        <v>Luping Tan</v>
      </c>
      <c r="D183" s="16" t="s">
        <v>897</v>
      </c>
      <c r="E183" s="16" t="s">
        <v>1444</v>
      </c>
      <c r="F183" s="16" t="s">
        <v>4</v>
      </c>
      <c r="G183" s="16" t="s">
        <v>1445</v>
      </c>
      <c r="H183" s="16">
        <v>96670177</v>
      </c>
    </row>
    <row r="184" spans="1:8" ht="25">
      <c r="A184" s="16" t="s">
        <v>1446</v>
      </c>
      <c r="B184" s="16" t="s">
        <v>1447</v>
      </c>
      <c r="C184" s="16" t="str">
        <f t="shared" si="2"/>
        <v>Rasyidah Abu</v>
      </c>
      <c r="D184" s="16" t="s">
        <v>897</v>
      </c>
      <c r="E184" s="16" t="s">
        <v>1448</v>
      </c>
      <c r="F184" s="16" t="s">
        <v>4</v>
      </c>
      <c r="G184" s="16" t="s">
        <v>1449</v>
      </c>
      <c r="H184" s="16">
        <v>96965659</v>
      </c>
    </row>
    <row r="185" spans="1:8" ht="25">
      <c r="A185" s="16" t="s">
        <v>352</v>
      </c>
      <c r="B185" s="16" t="s">
        <v>4394</v>
      </c>
      <c r="C185" s="16" t="str">
        <f t="shared" si="2"/>
        <v xml:space="preserve">LIM </v>
      </c>
      <c r="D185" s="16" t="s">
        <v>897</v>
      </c>
      <c r="E185" s="16" t="s">
        <v>1450</v>
      </c>
      <c r="F185" s="16" t="s">
        <v>4</v>
      </c>
      <c r="G185" s="16"/>
      <c r="H185" s="16" t="s">
        <v>1451</v>
      </c>
    </row>
    <row r="186" spans="1:8" ht="25">
      <c r="A186" s="16" t="s">
        <v>932</v>
      </c>
      <c r="B186" s="16" t="s">
        <v>4394</v>
      </c>
      <c r="C186" s="16" t="str">
        <f t="shared" si="2"/>
        <v xml:space="preserve">Amanda </v>
      </c>
      <c r="D186" s="16" t="s">
        <v>897</v>
      </c>
      <c r="E186" s="16" t="s">
        <v>1452</v>
      </c>
      <c r="F186" s="16" t="s">
        <v>4</v>
      </c>
      <c r="G186" s="16" t="s">
        <v>1453</v>
      </c>
      <c r="H186" s="16" t="s">
        <v>1454</v>
      </c>
    </row>
    <row r="187" spans="1:8" ht="25">
      <c r="A187" s="16" t="s">
        <v>1107</v>
      </c>
      <c r="B187" s="16" t="s">
        <v>4394</v>
      </c>
      <c r="C187" s="16" t="str">
        <f t="shared" si="2"/>
        <v xml:space="preserve">Naveed </v>
      </c>
      <c r="D187" s="16" t="s">
        <v>897</v>
      </c>
      <c r="E187" s="16" t="s">
        <v>1455</v>
      </c>
      <c r="F187" s="16" t="s">
        <v>4</v>
      </c>
      <c r="G187" s="16"/>
      <c r="H187" s="16" t="s">
        <v>1456</v>
      </c>
    </row>
    <row r="188" spans="1:8" ht="37.5">
      <c r="A188" s="16" t="s">
        <v>1457</v>
      </c>
      <c r="B188" s="16" t="s">
        <v>1458</v>
      </c>
      <c r="C188" s="16" t="str">
        <f t="shared" si="2"/>
        <v>Shinhuey lim</v>
      </c>
      <c r="D188" s="16" t="s">
        <v>897</v>
      </c>
      <c r="E188" s="16" t="s">
        <v>1459</v>
      </c>
      <c r="F188" s="16" t="s">
        <v>4</v>
      </c>
      <c r="G188" s="16" t="s">
        <v>1460</v>
      </c>
      <c r="H188" s="16" t="s">
        <v>1461</v>
      </c>
    </row>
    <row r="189" spans="1:8" ht="25">
      <c r="A189" s="16" t="s">
        <v>1462</v>
      </c>
      <c r="B189" s="16" t="s">
        <v>1463</v>
      </c>
      <c r="C189" s="16" t="str">
        <f t="shared" si="2"/>
        <v>karen zheng</v>
      </c>
      <c r="D189" s="16" t="s">
        <v>897</v>
      </c>
      <c r="E189" s="16" t="s">
        <v>1464</v>
      </c>
      <c r="F189" s="16" t="s">
        <v>4</v>
      </c>
      <c r="G189" s="16" t="s">
        <v>1465</v>
      </c>
      <c r="H189" s="16">
        <v>96317377</v>
      </c>
    </row>
    <row r="190" spans="1:8" ht="25">
      <c r="A190" s="16" t="s">
        <v>1041</v>
      </c>
      <c r="B190" s="16" t="s">
        <v>764</v>
      </c>
      <c r="C190" s="16" t="str">
        <f t="shared" si="2"/>
        <v>Jack Kim</v>
      </c>
      <c r="D190" s="16" t="s">
        <v>897</v>
      </c>
      <c r="E190" s="16" t="s">
        <v>1466</v>
      </c>
      <c r="F190" s="16" t="s">
        <v>4</v>
      </c>
      <c r="G190" s="16" t="s">
        <v>1467</v>
      </c>
      <c r="H190" s="16">
        <v>91143921</v>
      </c>
    </row>
    <row r="191" spans="1:8" ht="25">
      <c r="A191" s="16" t="s">
        <v>1468</v>
      </c>
      <c r="B191" s="16" t="s">
        <v>1469</v>
      </c>
      <c r="C191" s="16" t="str">
        <f t="shared" si="2"/>
        <v>Chloe Siew</v>
      </c>
      <c r="D191" s="16" t="s">
        <v>897</v>
      </c>
      <c r="E191" s="16" t="s">
        <v>1470</v>
      </c>
      <c r="F191" s="16" t="s">
        <v>4</v>
      </c>
      <c r="G191" s="16" t="s">
        <v>1471</v>
      </c>
      <c r="H191" s="16">
        <v>98529793</v>
      </c>
    </row>
    <row r="192" spans="1:8" ht="50">
      <c r="A192" s="16" t="s">
        <v>352</v>
      </c>
      <c r="B192" s="16" t="s">
        <v>4394</v>
      </c>
      <c r="C192" s="16" t="str">
        <f t="shared" si="2"/>
        <v xml:space="preserve">LIM </v>
      </c>
      <c r="D192" s="16" t="s">
        <v>897</v>
      </c>
      <c r="E192" s="16" t="s">
        <v>1472</v>
      </c>
      <c r="F192" s="16" t="s">
        <v>4</v>
      </c>
      <c r="G192" s="16"/>
      <c r="H192" s="16" t="s">
        <v>1473</v>
      </c>
    </row>
    <row r="193" spans="1:8" ht="25">
      <c r="A193" s="16" t="s">
        <v>1474</v>
      </c>
      <c r="B193" s="16" t="s">
        <v>4394</v>
      </c>
      <c r="C193" s="16" t="str">
        <f t="shared" si="2"/>
        <v xml:space="preserve">Louis Choo </v>
      </c>
      <c r="D193" s="16" t="s">
        <v>897</v>
      </c>
      <c r="E193" s="16" t="s">
        <v>1475</v>
      </c>
      <c r="F193" s="16" t="s">
        <v>4</v>
      </c>
      <c r="G193" s="16" t="s">
        <v>1476</v>
      </c>
      <c r="H193" s="16">
        <v>80283321</v>
      </c>
    </row>
    <row r="194" spans="1:8" ht="37.5">
      <c r="A194" s="16" t="s">
        <v>352</v>
      </c>
      <c r="B194" s="16" t="s">
        <v>4394</v>
      </c>
      <c r="C194" s="16" t="str">
        <f t="shared" si="2"/>
        <v xml:space="preserve">LIM </v>
      </c>
      <c r="D194" s="16" t="s">
        <v>897</v>
      </c>
      <c r="E194" s="16" t="s">
        <v>1477</v>
      </c>
      <c r="F194" s="16" t="s">
        <v>4</v>
      </c>
      <c r="G194" s="16"/>
      <c r="H194" s="16" t="s">
        <v>1478</v>
      </c>
    </row>
    <row r="195" spans="1:8" ht="37.5">
      <c r="A195" s="16" t="s">
        <v>352</v>
      </c>
      <c r="B195" s="16" t="s">
        <v>4394</v>
      </c>
      <c r="C195" s="16" t="str">
        <f t="shared" ref="C195:C196" si="3">_xlfn.CONCAT(A195," ",B195)</f>
        <v xml:space="preserve">LIM </v>
      </c>
      <c r="D195" s="16" t="s">
        <v>897</v>
      </c>
      <c r="E195" s="16" t="s">
        <v>1479</v>
      </c>
      <c r="F195" s="16" t="s">
        <v>4</v>
      </c>
      <c r="G195" s="16" t="s">
        <v>1480</v>
      </c>
      <c r="H195" s="16" t="s">
        <v>1481</v>
      </c>
    </row>
    <row r="196" spans="1:8" ht="25">
      <c r="A196" s="16" t="s">
        <v>1482</v>
      </c>
      <c r="B196" s="16" t="s">
        <v>372</v>
      </c>
      <c r="C196" s="16" t="str">
        <f t="shared" si="3"/>
        <v>Gideon Tan</v>
      </c>
      <c r="D196" s="16" t="s">
        <v>897</v>
      </c>
      <c r="E196" s="16" t="s">
        <v>1483</v>
      </c>
      <c r="F196" s="16" t="s">
        <v>4</v>
      </c>
      <c r="G196" s="16" t="s">
        <v>1484</v>
      </c>
      <c r="H196" s="16">
        <v>88812125</v>
      </c>
    </row>
    <row r="197" spans="1:8" ht="12.5">
      <c r="A197" s="16"/>
      <c r="B197" s="16"/>
      <c r="C197" s="16"/>
      <c r="D197" s="16"/>
      <c r="E197" s="16"/>
      <c r="F197" s="16"/>
      <c r="G197" s="16"/>
      <c r="H197" s="16"/>
    </row>
    <row r="198" spans="1:8" ht="12.5">
      <c r="A198" s="16"/>
      <c r="B198" s="16"/>
      <c r="C198" s="16"/>
      <c r="D198" s="16"/>
      <c r="E198" s="16"/>
      <c r="F198" s="16"/>
      <c r="G198" s="16"/>
      <c r="H198" s="16"/>
    </row>
    <row r="199" spans="1:8" ht="12.5">
      <c r="A199" s="16"/>
      <c r="B199" s="16"/>
      <c r="C199" s="16"/>
      <c r="D199" s="16"/>
      <c r="E199" s="16"/>
      <c r="F199" s="16"/>
      <c r="G199" s="16"/>
      <c r="H199" s="16"/>
    </row>
    <row r="200" spans="1:8" ht="12.5">
      <c r="A200" s="16"/>
      <c r="B200" s="16"/>
      <c r="C200" s="16"/>
      <c r="D200" s="16"/>
      <c r="E200" s="16"/>
      <c r="F200" s="16"/>
      <c r="G200" s="16"/>
      <c r="H200" s="16"/>
    </row>
    <row r="201" spans="1:8" ht="12.5">
      <c r="A201" s="16"/>
      <c r="B201" s="16"/>
      <c r="C201" s="16"/>
      <c r="D201" s="16"/>
      <c r="E201" s="16"/>
      <c r="F201" s="16"/>
      <c r="G201" s="16"/>
      <c r="H201" s="16"/>
    </row>
    <row r="202" spans="1:8" ht="12.5">
      <c r="A202" s="16"/>
      <c r="B202" s="16"/>
      <c r="C202" s="16"/>
      <c r="D202" s="16"/>
      <c r="E202" s="16"/>
      <c r="F202" s="16"/>
      <c r="G202" s="16"/>
      <c r="H202" s="16"/>
    </row>
    <row r="203" spans="1:8" ht="12.5">
      <c r="A203" s="16"/>
      <c r="B203" s="16"/>
      <c r="C203" s="16"/>
      <c r="D203" s="16"/>
      <c r="E203" s="16"/>
      <c r="F203" s="16"/>
      <c r="G203" s="16"/>
      <c r="H203" s="16"/>
    </row>
    <row r="204" spans="1:8" ht="12.5">
      <c r="A204" s="16"/>
      <c r="B204" s="16"/>
      <c r="C204" s="16"/>
      <c r="D204" s="16"/>
      <c r="E204" s="16"/>
      <c r="F204" s="16"/>
      <c r="G204" s="16"/>
      <c r="H204" s="16"/>
    </row>
    <row r="205" spans="1:8" ht="12.5">
      <c r="A205" s="16"/>
      <c r="B205" s="16"/>
      <c r="C205" s="16"/>
      <c r="D205" s="16"/>
      <c r="E205" s="16"/>
      <c r="F205" s="16"/>
      <c r="G205" s="16"/>
      <c r="H205" s="16"/>
    </row>
    <row r="206" spans="1:8" ht="12.5">
      <c r="A206" s="16"/>
      <c r="B206" s="16"/>
      <c r="C206" s="16"/>
      <c r="D206" s="16"/>
      <c r="E206" s="16"/>
      <c r="F206" s="16"/>
      <c r="G206" s="16"/>
      <c r="H206" s="16"/>
    </row>
    <row r="207" spans="1:8" ht="12.5">
      <c r="A207" s="16"/>
      <c r="B207" s="16"/>
      <c r="C207" s="16"/>
      <c r="D207" s="16"/>
      <c r="E207" s="16"/>
      <c r="F207" s="16"/>
      <c r="G207" s="16"/>
      <c r="H207" s="16"/>
    </row>
    <row r="208" spans="1:8" ht="12.5">
      <c r="A208" s="16"/>
      <c r="B208" s="16"/>
      <c r="C208" s="16"/>
      <c r="D208" s="16"/>
      <c r="E208" s="16"/>
      <c r="F208" s="16"/>
      <c r="G208" s="16"/>
      <c r="H208" s="16"/>
    </row>
    <row r="209" spans="1:8" ht="12.5">
      <c r="A209" s="16"/>
      <c r="B209" s="16"/>
      <c r="C209" s="16"/>
      <c r="D209" s="16"/>
      <c r="E209" s="16"/>
      <c r="F209" s="16"/>
      <c r="G209" s="16"/>
      <c r="H209" s="16"/>
    </row>
    <row r="210" spans="1:8" ht="12.5">
      <c r="A210" s="16"/>
      <c r="B210" s="16"/>
      <c r="C210" s="16"/>
      <c r="D210" s="16"/>
      <c r="E210" s="16"/>
      <c r="F210" s="16"/>
      <c r="G210" s="16"/>
      <c r="H210" s="16"/>
    </row>
    <row r="211" spans="1:8" ht="12.5">
      <c r="A211" s="16"/>
      <c r="B211" s="16"/>
      <c r="C211" s="16"/>
      <c r="D211" s="16"/>
      <c r="E211" s="16"/>
      <c r="F211" s="16"/>
      <c r="G211" s="16"/>
      <c r="H211" s="16"/>
    </row>
    <row r="212" spans="1:8" ht="12.5">
      <c r="A212" s="16"/>
      <c r="B212" s="16"/>
      <c r="C212" s="16"/>
      <c r="D212" s="16"/>
      <c r="E212" s="16"/>
      <c r="F212" s="16"/>
      <c r="G212" s="16"/>
      <c r="H212" s="16"/>
    </row>
    <row r="213" spans="1:8" ht="12.5">
      <c r="A213" s="16"/>
      <c r="B213" s="16"/>
      <c r="C213" s="16"/>
      <c r="D213" s="16"/>
      <c r="E213" s="16"/>
      <c r="F213" s="16"/>
      <c r="G213" s="16"/>
      <c r="H213" s="16"/>
    </row>
    <row r="214" spans="1:8" ht="12.5">
      <c r="A214" s="16"/>
      <c r="B214" s="16"/>
      <c r="C214" s="16"/>
      <c r="D214" s="16"/>
      <c r="E214" s="16"/>
      <c r="F214" s="16"/>
      <c r="G214" s="16"/>
      <c r="H214" s="16"/>
    </row>
    <row r="215" spans="1:8" ht="12.5">
      <c r="A215" s="16"/>
      <c r="B215" s="16"/>
      <c r="C215" s="16"/>
      <c r="D215" s="16"/>
      <c r="E215" s="16"/>
      <c r="F215" s="16"/>
      <c r="G215" s="16"/>
      <c r="H215" s="16"/>
    </row>
    <row r="216" spans="1:8" ht="12.5">
      <c r="A216" s="16"/>
      <c r="B216" s="16"/>
      <c r="C216" s="16"/>
      <c r="D216" s="16"/>
      <c r="E216" s="16"/>
      <c r="F216" s="16"/>
      <c r="G216" s="16"/>
      <c r="H216" s="16"/>
    </row>
    <row r="217" spans="1:8" ht="12.5">
      <c r="A217" s="16"/>
      <c r="B217" s="16"/>
      <c r="C217" s="16"/>
      <c r="D217" s="16"/>
      <c r="E217" s="16"/>
      <c r="F217" s="16"/>
      <c r="G217" s="16"/>
      <c r="H217" s="16"/>
    </row>
    <row r="218" spans="1:8" ht="12.5">
      <c r="A218" s="16"/>
      <c r="B218" s="16"/>
      <c r="C218" s="16"/>
      <c r="D218" s="16"/>
      <c r="E218" s="16"/>
      <c r="F218" s="16"/>
      <c r="G218" s="16"/>
      <c r="H218" s="16"/>
    </row>
    <row r="219" spans="1:8" ht="12.5">
      <c r="A219" s="16"/>
      <c r="B219" s="16"/>
      <c r="C219" s="16"/>
      <c r="D219" s="16"/>
      <c r="E219" s="16"/>
      <c r="F219" s="16"/>
      <c r="G219" s="16"/>
      <c r="H219" s="16"/>
    </row>
    <row r="220" spans="1:8" ht="12.5">
      <c r="A220" s="16"/>
      <c r="B220" s="16"/>
      <c r="C220" s="16"/>
      <c r="D220" s="16"/>
      <c r="E220" s="16"/>
      <c r="F220" s="16"/>
      <c r="G220" s="16"/>
      <c r="H220" s="16"/>
    </row>
    <row r="221" spans="1:8" ht="12.5">
      <c r="A221" s="16"/>
      <c r="B221" s="16"/>
      <c r="C221" s="16"/>
      <c r="D221" s="16"/>
      <c r="E221" s="16"/>
      <c r="F221" s="16"/>
      <c r="G221" s="16"/>
      <c r="H221" s="16"/>
    </row>
    <row r="222" spans="1:8" ht="12.5">
      <c r="A222" s="16"/>
      <c r="B222" s="16"/>
      <c r="C222" s="16"/>
      <c r="D222" s="16"/>
      <c r="E222" s="16"/>
      <c r="F222" s="16"/>
      <c r="G222" s="16"/>
      <c r="H222" s="16"/>
    </row>
    <row r="223" spans="1:8" ht="12.5">
      <c r="A223" s="16"/>
      <c r="B223" s="16"/>
      <c r="C223" s="16"/>
      <c r="D223" s="16"/>
      <c r="E223" s="16"/>
      <c r="F223" s="16"/>
      <c r="G223" s="16"/>
      <c r="H223" s="16"/>
    </row>
    <row r="224" spans="1:8" ht="12.5">
      <c r="A224" s="16"/>
      <c r="B224" s="16"/>
      <c r="C224" s="16"/>
      <c r="D224" s="16"/>
      <c r="E224" s="16"/>
      <c r="F224" s="16"/>
      <c r="G224" s="16"/>
      <c r="H224" s="16"/>
    </row>
    <row r="225" spans="1:8" ht="12.5">
      <c r="A225" s="16"/>
      <c r="B225" s="16"/>
      <c r="C225" s="16"/>
      <c r="D225" s="16"/>
      <c r="E225" s="16"/>
      <c r="F225" s="16"/>
      <c r="G225" s="16"/>
      <c r="H225" s="16"/>
    </row>
    <row r="226" spans="1:8" ht="12.5">
      <c r="A226" s="16"/>
      <c r="B226" s="16"/>
      <c r="C226" s="16"/>
      <c r="D226" s="16"/>
      <c r="E226" s="16"/>
      <c r="F226" s="16"/>
      <c r="G226" s="16"/>
      <c r="H226" s="16"/>
    </row>
    <row r="227" spans="1:8" ht="12.5">
      <c r="A227" s="16"/>
      <c r="B227" s="16"/>
      <c r="C227" s="16"/>
      <c r="D227" s="16"/>
      <c r="E227" s="16"/>
      <c r="F227" s="16"/>
      <c r="G227" s="16"/>
      <c r="H227" s="16"/>
    </row>
    <row r="228" spans="1:8" ht="12.5">
      <c r="A228" s="16"/>
      <c r="B228" s="16"/>
      <c r="C228" s="16"/>
      <c r="D228" s="16"/>
      <c r="E228" s="16"/>
      <c r="F228" s="16"/>
      <c r="G228" s="16"/>
      <c r="H228" s="16"/>
    </row>
    <row r="229" spans="1:8" ht="12.5">
      <c r="A229" s="16"/>
      <c r="B229" s="16"/>
      <c r="C229" s="16"/>
      <c r="D229" s="16"/>
      <c r="E229" s="16"/>
      <c r="F229" s="16"/>
      <c r="G229" s="16"/>
      <c r="H229" s="16"/>
    </row>
    <row r="230" spans="1:8" ht="12.5">
      <c r="A230" s="16"/>
      <c r="B230" s="16"/>
      <c r="C230" s="16"/>
      <c r="D230" s="16"/>
      <c r="E230" s="16"/>
      <c r="F230" s="16"/>
      <c r="G230" s="16"/>
      <c r="H230" s="16"/>
    </row>
    <row r="231" spans="1:8" ht="12.5">
      <c r="A231" s="16"/>
      <c r="B231" s="16"/>
      <c r="C231" s="16"/>
      <c r="D231" s="16"/>
      <c r="E231" s="16"/>
      <c r="F231" s="16"/>
      <c r="G231" s="16"/>
      <c r="H231" s="16"/>
    </row>
    <row r="232" spans="1:8" ht="12.5">
      <c r="A232" s="16"/>
      <c r="B232" s="16"/>
      <c r="C232" s="16"/>
      <c r="D232" s="16"/>
      <c r="E232" s="16"/>
      <c r="F232" s="16"/>
      <c r="G232" s="16"/>
      <c r="H232" s="16"/>
    </row>
    <row r="233" spans="1:8" ht="12.5">
      <c r="A233" s="16"/>
      <c r="B233" s="16"/>
      <c r="C233" s="16"/>
      <c r="D233" s="16"/>
      <c r="E233" s="16"/>
      <c r="F233" s="16"/>
      <c r="G233" s="16"/>
      <c r="H233" s="16"/>
    </row>
    <row r="234" spans="1:8" ht="12.5">
      <c r="A234" s="16"/>
      <c r="B234" s="16"/>
      <c r="C234" s="16"/>
      <c r="D234" s="16"/>
      <c r="E234" s="16"/>
      <c r="F234" s="16"/>
      <c r="G234" s="16"/>
      <c r="H234" s="16"/>
    </row>
    <row r="235" spans="1:8" ht="12.5">
      <c r="A235" s="16"/>
      <c r="B235" s="16"/>
      <c r="C235" s="16"/>
      <c r="D235" s="16"/>
      <c r="E235" s="16"/>
      <c r="F235" s="16"/>
      <c r="G235" s="16"/>
      <c r="H235" s="16"/>
    </row>
    <row r="236" spans="1:8" ht="12.5">
      <c r="A236" s="16"/>
      <c r="B236" s="16"/>
      <c r="C236" s="16"/>
      <c r="D236" s="16"/>
      <c r="E236" s="16"/>
      <c r="F236" s="16"/>
      <c r="G236" s="16"/>
      <c r="H236" s="16"/>
    </row>
    <row r="237" spans="1:8" ht="12.5">
      <c r="A237" s="16"/>
      <c r="B237" s="16"/>
      <c r="C237" s="16"/>
      <c r="D237" s="16"/>
      <c r="E237" s="16"/>
      <c r="F237" s="16"/>
      <c r="G237" s="16"/>
      <c r="H237" s="16"/>
    </row>
    <row r="238" spans="1:8" ht="12.5">
      <c r="A238" s="16"/>
      <c r="B238" s="16"/>
      <c r="C238" s="16"/>
      <c r="D238" s="16"/>
      <c r="E238" s="16"/>
      <c r="F238" s="16"/>
      <c r="G238" s="16"/>
      <c r="H238" s="16"/>
    </row>
    <row r="239" spans="1:8" ht="12.5">
      <c r="A239" s="16"/>
      <c r="B239" s="16"/>
      <c r="C239" s="16"/>
      <c r="D239" s="16"/>
      <c r="E239" s="16"/>
      <c r="F239" s="16"/>
      <c r="G239" s="16"/>
      <c r="H239" s="16"/>
    </row>
    <row r="240" spans="1:8" ht="12.5">
      <c r="A240" s="16"/>
      <c r="B240" s="16"/>
      <c r="C240" s="16"/>
      <c r="D240" s="16"/>
      <c r="E240" s="16"/>
      <c r="F240" s="16"/>
      <c r="G240" s="16"/>
      <c r="H240" s="16"/>
    </row>
    <row r="241" spans="1:8" ht="12.5">
      <c r="A241" s="16"/>
      <c r="B241" s="16"/>
      <c r="C241" s="16"/>
      <c r="D241" s="16"/>
      <c r="E241" s="16"/>
      <c r="F241" s="16"/>
      <c r="G241" s="16"/>
      <c r="H241" s="16"/>
    </row>
    <row r="242" spans="1:8" ht="12.5">
      <c r="A242" s="16"/>
      <c r="B242" s="16"/>
      <c r="C242" s="16"/>
      <c r="D242" s="16"/>
      <c r="E242" s="16"/>
      <c r="F242" s="16"/>
      <c r="G242" s="16"/>
      <c r="H242" s="16"/>
    </row>
    <row r="243" spans="1:8" ht="12.5">
      <c r="A243" s="16"/>
      <c r="B243" s="16"/>
      <c r="C243" s="16"/>
      <c r="D243" s="16"/>
      <c r="E243" s="16"/>
      <c r="F243" s="16"/>
      <c r="G243" s="16"/>
      <c r="H243" s="16"/>
    </row>
    <row r="244" spans="1:8" ht="12.5">
      <c r="A244" s="16"/>
      <c r="B244" s="16"/>
      <c r="C244" s="16"/>
      <c r="D244" s="16"/>
      <c r="E244" s="16"/>
      <c r="F244" s="16"/>
      <c r="G244" s="16"/>
      <c r="H244" s="16"/>
    </row>
    <row r="245" spans="1:8" ht="12.5">
      <c r="A245" s="16"/>
      <c r="B245" s="16"/>
      <c r="C245" s="16"/>
      <c r="D245" s="16"/>
      <c r="E245" s="16"/>
      <c r="F245" s="16"/>
      <c r="G245" s="16"/>
      <c r="H245" s="16"/>
    </row>
    <row r="246" spans="1:8" ht="12.5">
      <c r="A246" s="16"/>
      <c r="B246" s="16"/>
      <c r="C246" s="16"/>
      <c r="D246" s="16"/>
      <c r="E246" s="16"/>
      <c r="F246" s="16"/>
      <c r="G246" s="16"/>
      <c r="H246" s="16"/>
    </row>
    <row r="247" spans="1:8" ht="12.5">
      <c r="A247" s="16"/>
      <c r="B247" s="16"/>
      <c r="C247" s="16"/>
      <c r="D247" s="16"/>
      <c r="E247" s="16"/>
      <c r="F247" s="16"/>
      <c r="G247" s="16"/>
      <c r="H247" s="16"/>
    </row>
    <row r="248" spans="1:8" ht="12.5">
      <c r="A248" s="16"/>
      <c r="B248" s="16"/>
      <c r="C248" s="16"/>
      <c r="D248" s="16"/>
      <c r="E248" s="16"/>
      <c r="F248" s="16"/>
      <c r="G248" s="16"/>
      <c r="H248" s="16"/>
    </row>
    <row r="249" spans="1:8" ht="12.5">
      <c r="A249" s="16"/>
      <c r="B249" s="16"/>
      <c r="C249" s="16"/>
      <c r="D249" s="16"/>
      <c r="E249" s="16"/>
      <c r="F249" s="16"/>
      <c r="G249" s="16"/>
      <c r="H249" s="16"/>
    </row>
    <row r="250" spans="1:8" ht="12.5">
      <c r="A250" s="16"/>
      <c r="B250" s="16"/>
      <c r="C250" s="16"/>
      <c r="D250" s="16"/>
      <c r="E250" s="16"/>
      <c r="F250" s="16"/>
      <c r="G250" s="16"/>
      <c r="H250" s="16"/>
    </row>
    <row r="251" spans="1:8" ht="12.5">
      <c r="A251" s="16"/>
      <c r="B251" s="16"/>
      <c r="C251" s="16"/>
      <c r="D251" s="16"/>
      <c r="E251" s="16"/>
      <c r="F251" s="16"/>
      <c r="G251" s="16"/>
      <c r="H251" s="16"/>
    </row>
    <row r="252" spans="1:8" ht="12.5">
      <c r="A252" s="16"/>
      <c r="B252" s="16"/>
      <c r="C252" s="16"/>
      <c r="D252" s="16"/>
      <c r="E252" s="16"/>
      <c r="F252" s="16"/>
      <c r="G252" s="16"/>
      <c r="H252" s="16"/>
    </row>
    <row r="253" spans="1:8" ht="12.5">
      <c r="A253" s="16"/>
      <c r="B253" s="16"/>
      <c r="C253" s="16"/>
      <c r="D253" s="16"/>
      <c r="E253" s="16"/>
      <c r="F253" s="16"/>
      <c r="G253" s="16"/>
      <c r="H253" s="16"/>
    </row>
    <row r="254" spans="1:8" ht="12.5">
      <c r="A254" s="16"/>
      <c r="B254" s="16"/>
      <c r="C254" s="16"/>
      <c r="D254" s="16"/>
      <c r="E254" s="16"/>
      <c r="F254" s="16"/>
      <c r="G254" s="16"/>
      <c r="H254" s="16"/>
    </row>
    <row r="255" spans="1:8" ht="12.5">
      <c r="A255" s="16"/>
      <c r="B255" s="16"/>
      <c r="C255" s="16"/>
      <c r="D255" s="16"/>
      <c r="E255" s="16"/>
      <c r="F255" s="16"/>
      <c r="G255" s="16"/>
      <c r="H255" s="16"/>
    </row>
    <row r="256" spans="1:8" ht="12.5">
      <c r="A256" s="16"/>
      <c r="B256" s="16"/>
      <c r="C256" s="16"/>
      <c r="D256" s="16"/>
      <c r="E256" s="16"/>
      <c r="F256" s="16"/>
      <c r="G256" s="16"/>
      <c r="H256" s="16"/>
    </row>
    <row r="257" spans="1:8" ht="12.5">
      <c r="A257" s="16"/>
      <c r="B257" s="16"/>
      <c r="C257" s="16"/>
      <c r="D257" s="16"/>
      <c r="E257" s="16"/>
      <c r="F257" s="16"/>
      <c r="G257" s="16"/>
      <c r="H257" s="16"/>
    </row>
    <row r="258" spans="1:8" ht="12.5">
      <c r="A258" s="16"/>
      <c r="B258" s="16"/>
      <c r="C258" s="16"/>
      <c r="D258" s="16"/>
      <c r="E258" s="16"/>
      <c r="F258" s="16"/>
      <c r="G258" s="16"/>
      <c r="H258" s="16"/>
    </row>
    <row r="259" spans="1:8" ht="12.5">
      <c r="A259" s="16"/>
      <c r="B259" s="16"/>
      <c r="C259" s="16"/>
      <c r="D259" s="16"/>
      <c r="E259" s="16"/>
      <c r="F259" s="16"/>
      <c r="G259" s="16"/>
      <c r="H259" s="16"/>
    </row>
    <row r="260" spans="1:8" ht="12.5">
      <c r="A260" s="16"/>
      <c r="B260" s="16"/>
      <c r="C260" s="16"/>
      <c r="D260" s="16"/>
      <c r="E260" s="16"/>
      <c r="F260" s="16"/>
      <c r="G260" s="16"/>
      <c r="H260" s="16"/>
    </row>
    <row r="261" spans="1:8" ht="12.5">
      <c r="A261" s="16"/>
      <c r="B261" s="16"/>
      <c r="C261" s="16"/>
      <c r="D261" s="16"/>
      <c r="E261" s="16"/>
      <c r="F261" s="16"/>
      <c r="G261" s="16"/>
      <c r="H261" s="16"/>
    </row>
    <row r="262" spans="1:8" ht="12.5">
      <c r="A262" s="16"/>
      <c r="B262" s="16"/>
      <c r="C262" s="16"/>
      <c r="D262" s="16"/>
      <c r="E262" s="16"/>
      <c r="F262" s="16"/>
      <c r="G262" s="16"/>
      <c r="H262" s="16"/>
    </row>
    <row r="263" spans="1:8" ht="12.5">
      <c r="A263" s="16"/>
      <c r="B263" s="16"/>
      <c r="C263" s="16"/>
      <c r="D263" s="16"/>
      <c r="E263" s="16"/>
      <c r="F263" s="16"/>
      <c r="G263" s="16"/>
      <c r="H263" s="16"/>
    </row>
    <row r="264" spans="1:8" ht="12.5">
      <c r="A264" s="16"/>
      <c r="B264" s="16"/>
      <c r="C264" s="16"/>
      <c r="D264" s="16"/>
      <c r="E264" s="16"/>
      <c r="F264" s="16"/>
      <c r="G264" s="16"/>
      <c r="H264" s="16"/>
    </row>
    <row r="265" spans="1:8" ht="12.5">
      <c r="A265" s="16"/>
      <c r="B265" s="16"/>
      <c r="C265" s="16"/>
      <c r="D265" s="16"/>
      <c r="E265" s="16"/>
      <c r="F265" s="16"/>
      <c r="G265" s="16"/>
      <c r="H265" s="16"/>
    </row>
    <row r="266" spans="1:8" ht="12.5">
      <c r="A266" s="16"/>
      <c r="B266" s="16"/>
      <c r="C266" s="16"/>
      <c r="D266" s="16"/>
      <c r="E266" s="16"/>
      <c r="F266" s="16"/>
      <c r="G266" s="16"/>
      <c r="H266" s="16"/>
    </row>
    <row r="267" spans="1:8" ht="12.5">
      <c r="A267" s="16"/>
      <c r="B267" s="16"/>
      <c r="C267" s="16"/>
      <c r="D267" s="16"/>
      <c r="E267" s="16"/>
      <c r="F267" s="16"/>
      <c r="G267" s="16"/>
      <c r="H267" s="16"/>
    </row>
    <row r="268" spans="1:8" ht="12.5">
      <c r="A268" s="16"/>
      <c r="B268" s="16"/>
      <c r="C268" s="16"/>
      <c r="D268" s="16"/>
      <c r="E268" s="16"/>
      <c r="F268" s="16"/>
      <c r="G268" s="16"/>
      <c r="H268" s="16"/>
    </row>
    <row r="269" spans="1:8" ht="12.5">
      <c r="A269" s="16"/>
      <c r="B269" s="16"/>
      <c r="C269" s="16"/>
      <c r="D269" s="16"/>
      <c r="E269" s="16"/>
      <c r="F269" s="16"/>
      <c r="G269" s="16"/>
      <c r="H269" s="16"/>
    </row>
    <row r="270" spans="1:8" ht="12.5">
      <c r="A270" s="16"/>
      <c r="B270" s="16"/>
      <c r="C270" s="16"/>
      <c r="D270" s="16"/>
      <c r="E270" s="16"/>
      <c r="F270" s="16"/>
      <c r="G270" s="16"/>
      <c r="H270" s="16"/>
    </row>
    <row r="271" spans="1:8" ht="12.5">
      <c r="A271" s="16"/>
      <c r="B271" s="16"/>
      <c r="C271" s="16"/>
      <c r="D271" s="16"/>
      <c r="E271" s="16"/>
      <c r="F271" s="16"/>
      <c r="G271" s="16"/>
      <c r="H271" s="16"/>
    </row>
    <row r="272" spans="1:8" ht="12.5">
      <c r="A272" s="16"/>
      <c r="B272" s="16"/>
      <c r="C272" s="16"/>
      <c r="D272" s="16"/>
      <c r="E272" s="16"/>
      <c r="F272" s="16"/>
      <c r="G272" s="16"/>
      <c r="H272" s="16"/>
    </row>
    <row r="273" spans="1:8" ht="12.5">
      <c r="A273" s="16"/>
      <c r="B273" s="16"/>
      <c r="C273" s="16"/>
      <c r="D273" s="16"/>
      <c r="E273" s="16"/>
      <c r="F273" s="16"/>
      <c r="G273" s="16"/>
      <c r="H273" s="16"/>
    </row>
    <row r="274" spans="1:8" ht="12.5">
      <c r="A274" s="16"/>
      <c r="B274" s="16"/>
      <c r="C274" s="16"/>
      <c r="D274" s="16"/>
      <c r="E274" s="16"/>
      <c r="F274" s="16"/>
      <c r="G274" s="16"/>
      <c r="H274" s="16"/>
    </row>
    <row r="275" spans="1:8" ht="12.5">
      <c r="A275" s="16"/>
      <c r="B275" s="16"/>
      <c r="C275" s="16"/>
      <c r="D275" s="16"/>
      <c r="E275" s="16"/>
      <c r="F275" s="16"/>
      <c r="G275" s="16"/>
      <c r="H275" s="16"/>
    </row>
    <row r="276" spans="1:8" ht="12.5">
      <c r="A276" s="16"/>
      <c r="B276" s="16"/>
      <c r="C276" s="16"/>
      <c r="D276" s="16"/>
      <c r="E276" s="16"/>
      <c r="F276" s="16"/>
      <c r="G276" s="16"/>
      <c r="H276" s="16"/>
    </row>
    <row r="277" spans="1:8" ht="12.5">
      <c r="A277" s="16"/>
      <c r="B277" s="16"/>
      <c r="C277" s="16"/>
      <c r="D277" s="16"/>
      <c r="E277" s="16"/>
      <c r="F277" s="16"/>
      <c r="G277" s="16"/>
      <c r="H277" s="16"/>
    </row>
    <row r="278" spans="1:8" ht="12.5">
      <c r="A278" s="16"/>
      <c r="B278" s="16"/>
      <c r="C278" s="16"/>
      <c r="D278" s="16"/>
      <c r="E278" s="16"/>
      <c r="F278" s="16"/>
      <c r="G278" s="16"/>
      <c r="H278" s="16"/>
    </row>
    <row r="279" spans="1:8" ht="12.5">
      <c r="A279" s="16"/>
      <c r="B279" s="16"/>
      <c r="C279" s="16"/>
      <c r="D279" s="16"/>
      <c r="E279" s="16"/>
      <c r="F279" s="16"/>
      <c r="G279" s="16"/>
      <c r="H279" s="16"/>
    </row>
    <row r="280" spans="1:8" ht="12.5">
      <c r="A280" s="16"/>
      <c r="B280" s="16"/>
      <c r="C280" s="16"/>
      <c r="D280" s="16"/>
      <c r="E280" s="16"/>
      <c r="F280" s="16"/>
      <c r="G280" s="16"/>
      <c r="H280" s="16"/>
    </row>
    <row r="281" spans="1:8" ht="12.5">
      <c r="A281" s="16"/>
      <c r="B281" s="16"/>
      <c r="C281" s="16"/>
      <c r="D281" s="16"/>
      <c r="E281" s="16"/>
      <c r="F281" s="16"/>
      <c r="G281" s="16"/>
      <c r="H281" s="16"/>
    </row>
    <row r="282" spans="1:8" ht="12.5">
      <c r="A282" s="16"/>
      <c r="B282" s="16"/>
      <c r="C282" s="16"/>
      <c r="D282" s="16"/>
      <c r="E282" s="16"/>
      <c r="F282" s="16"/>
      <c r="G282" s="16"/>
      <c r="H282" s="16"/>
    </row>
    <row r="283" spans="1:8" ht="12.5">
      <c r="A283" s="16"/>
      <c r="B283" s="16"/>
      <c r="C283" s="16"/>
      <c r="D283" s="16"/>
      <c r="E283" s="16"/>
      <c r="F283" s="16"/>
      <c r="G283" s="16"/>
      <c r="H283" s="16"/>
    </row>
    <row r="284" spans="1:8" ht="12.5">
      <c r="A284" s="16"/>
      <c r="B284" s="16"/>
      <c r="C284" s="16"/>
      <c r="D284" s="16"/>
      <c r="E284" s="16"/>
      <c r="F284" s="16"/>
      <c r="G284" s="16"/>
      <c r="H284" s="16"/>
    </row>
    <row r="285" spans="1:8" ht="12.5">
      <c r="A285" s="16"/>
      <c r="B285" s="16"/>
      <c r="C285" s="16"/>
      <c r="D285" s="16"/>
      <c r="E285" s="16"/>
      <c r="F285" s="16"/>
      <c r="G285" s="16"/>
      <c r="H285" s="16"/>
    </row>
    <row r="286" spans="1:8" ht="12.5">
      <c r="A286" s="16"/>
      <c r="B286" s="16"/>
      <c r="C286" s="16"/>
      <c r="D286" s="16"/>
      <c r="E286" s="16"/>
      <c r="F286" s="16"/>
      <c r="G286" s="16"/>
      <c r="H286" s="16"/>
    </row>
    <row r="287" spans="1:8" ht="12.5">
      <c r="A287" s="16"/>
      <c r="B287" s="16"/>
      <c r="C287" s="16"/>
      <c r="D287" s="16"/>
      <c r="E287" s="16"/>
      <c r="F287" s="16"/>
      <c r="G287" s="16"/>
      <c r="H287" s="16"/>
    </row>
    <row r="288" spans="1:8" ht="12.5">
      <c r="A288" s="16"/>
      <c r="B288" s="16"/>
      <c r="C288" s="16"/>
      <c r="D288" s="16"/>
      <c r="E288" s="16"/>
      <c r="F288" s="16"/>
      <c r="G288" s="16"/>
      <c r="H288" s="16"/>
    </row>
    <row r="289" spans="1:8" ht="12.5">
      <c r="A289" s="16"/>
      <c r="B289" s="16"/>
      <c r="C289" s="16"/>
      <c r="D289" s="16"/>
      <c r="E289" s="16"/>
      <c r="F289" s="16"/>
      <c r="G289" s="16"/>
      <c r="H289" s="16"/>
    </row>
    <row r="290" spans="1:8" ht="12.5">
      <c r="A290" s="16"/>
      <c r="B290" s="16"/>
      <c r="C290" s="16"/>
      <c r="D290" s="16"/>
      <c r="E290" s="16"/>
      <c r="F290" s="16"/>
      <c r="G290" s="16"/>
      <c r="H290" s="16"/>
    </row>
    <row r="291" spans="1:8" ht="12.5">
      <c r="A291" s="16"/>
      <c r="B291" s="16"/>
      <c r="C291" s="16"/>
      <c r="D291" s="16"/>
      <c r="E291" s="16"/>
      <c r="F291" s="16"/>
      <c r="G291" s="16"/>
      <c r="H291" s="16"/>
    </row>
    <row r="292" spans="1:8" ht="12.5">
      <c r="A292" s="16"/>
      <c r="B292" s="16"/>
      <c r="C292" s="16"/>
      <c r="D292" s="16"/>
      <c r="E292" s="16"/>
      <c r="F292" s="16"/>
      <c r="G292" s="16"/>
      <c r="H292" s="16"/>
    </row>
    <row r="293" spans="1:8" ht="12.5">
      <c r="A293" s="16"/>
      <c r="B293" s="16"/>
      <c r="C293" s="16"/>
      <c r="D293" s="16"/>
      <c r="E293" s="16"/>
      <c r="F293" s="16"/>
      <c r="G293" s="16"/>
      <c r="H293" s="16"/>
    </row>
    <row r="294" spans="1:8" ht="12.5">
      <c r="A294" s="16"/>
      <c r="B294" s="16"/>
      <c r="C294" s="16"/>
      <c r="D294" s="16"/>
      <c r="E294" s="16"/>
      <c r="F294" s="16"/>
      <c r="G294" s="16"/>
      <c r="H294" s="16"/>
    </row>
    <row r="295" spans="1:8" ht="12.5">
      <c r="A295" s="16"/>
      <c r="B295" s="16"/>
      <c r="C295" s="16"/>
      <c r="D295" s="16"/>
      <c r="E295" s="16"/>
      <c r="F295" s="16"/>
      <c r="G295" s="16"/>
      <c r="H295" s="16"/>
    </row>
    <row r="296" spans="1:8" ht="12.5">
      <c r="A296" s="16"/>
      <c r="B296" s="16"/>
      <c r="C296" s="16"/>
      <c r="D296" s="16"/>
      <c r="E296" s="16"/>
      <c r="F296" s="16"/>
      <c r="G296" s="16"/>
      <c r="H296" s="16"/>
    </row>
    <row r="297" spans="1:8" ht="12.5">
      <c r="A297" s="16"/>
      <c r="B297" s="16"/>
      <c r="C297" s="16"/>
      <c r="D297" s="16"/>
      <c r="E297" s="16"/>
      <c r="F297" s="16"/>
      <c r="G297" s="16"/>
      <c r="H297" s="16"/>
    </row>
    <row r="298" spans="1:8" ht="12.5">
      <c r="A298" s="16"/>
      <c r="B298" s="16"/>
      <c r="C298" s="16"/>
      <c r="D298" s="16"/>
      <c r="E298" s="16"/>
      <c r="F298" s="16"/>
      <c r="G298" s="16"/>
      <c r="H298" s="16"/>
    </row>
    <row r="299" spans="1:8" ht="12.5">
      <c r="A299" s="16"/>
      <c r="B299" s="16"/>
      <c r="C299" s="16"/>
      <c r="D299" s="16"/>
      <c r="E299" s="16"/>
      <c r="F299" s="16"/>
      <c r="G299" s="16"/>
      <c r="H299" s="16"/>
    </row>
    <row r="300" spans="1:8" ht="12.5">
      <c r="A300" s="16"/>
      <c r="B300" s="16"/>
      <c r="C300" s="16"/>
      <c r="D300" s="16"/>
      <c r="E300" s="16"/>
      <c r="F300" s="16"/>
      <c r="G300" s="16"/>
      <c r="H300" s="16"/>
    </row>
    <row r="301" spans="1:8" ht="12.5">
      <c r="A301" s="16"/>
      <c r="B301" s="16"/>
      <c r="C301" s="16"/>
      <c r="D301" s="16"/>
      <c r="E301" s="16"/>
      <c r="F301" s="16"/>
      <c r="G301" s="16"/>
      <c r="H301" s="16"/>
    </row>
    <row r="302" spans="1:8" ht="12.5">
      <c r="A302" s="16"/>
      <c r="B302" s="16"/>
      <c r="C302" s="16"/>
      <c r="D302" s="16"/>
      <c r="E302" s="16"/>
      <c r="F302" s="16"/>
      <c r="G302" s="16"/>
      <c r="H302" s="16"/>
    </row>
    <row r="303" spans="1:8" ht="12.5">
      <c r="A303" s="16"/>
      <c r="B303" s="16"/>
      <c r="C303" s="16"/>
      <c r="D303" s="16"/>
      <c r="E303" s="16"/>
      <c r="F303" s="16"/>
      <c r="G303" s="16"/>
      <c r="H303" s="16"/>
    </row>
    <row r="304" spans="1:8" ht="12.5">
      <c r="A304" s="16"/>
      <c r="B304" s="16"/>
      <c r="C304" s="16"/>
      <c r="D304" s="16"/>
      <c r="E304" s="16"/>
      <c r="F304" s="16"/>
      <c r="G304" s="16"/>
      <c r="H304" s="16"/>
    </row>
    <row r="305" spans="1:8" ht="12.5">
      <c r="A305" s="16"/>
      <c r="B305" s="16"/>
      <c r="C305" s="16"/>
      <c r="D305" s="16"/>
      <c r="E305" s="16"/>
      <c r="F305" s="16"/>
      <c r="G305" s="16"/>
      <c r="H305" s="16"/>
    </row>
    <row r="306" spans="1:8" ht="12.5">
      <c r="A306" s="16"/>
      <c r="B306" s="16"/>
      <c r="C306" s="16"/>
      <c r="D306" s="16"/>
      <c r="E306" s="16"/>
      <c r="F306" s="16"/>
      <c r="G306" s="16"/>
      <c r="H306" s="16"/>
    </row>
    <row r="307" spans="1:8" ht="12.5">
      <c r="A307" s="16"/>
      <c r="B307" s="16"/>
      <c r="C307" s="16"/>
      <c r="D307" s="16"/>
      <c r="E307" s="16"/>
      <c r="F307" s="16"/>
      <c r="G307" s="16"/>
      <c r="H307" s="16"/>
    </row>
    <row r="308" spans="1:8" ht="12.5">
      <c r="A308" s="16"/>
      <c r="B308" s="16"/>
      <c r="C308" s="16"/>
      <c r="D308" s="16"/>
      <c r="E308" s="16"/>
      <c r="F308" s="16"/>
      <c r="G308" s="16"/>
      <c r="H308" s="16"/>
    </row>
    <row r="309" spans="1:8" ht="12.5">
      <c r="A309" s="16"/>
      <c r="B309" s="16"/>
      <c r="C309" s="16"/>
      <c r="D309" s="16"/>
      <c r="E309" s="16"/>
      <c r="F309" s="16"/>
      <c r="G309" s="16"/>
      <c r="H309" s="16"/>
    </row>
    <row r="310" spans="1:8" ht="12.5">
      <c r="A310" s="16"/>
      <c r="B310" s="16"/>
      <c r="C310" s="16"/>
      <c r="D310" s="16"/>
      <c r="E310" s="16"/>
      <c r="F310" s="16"/>
      <c r="G310" s="16"/>
      <c r="H310" s="16"/>
    </row>
    <row r="311" spans="1:8" ht="12.5">
      <c r="A311" s="16"/>
      <c r="B311" s="16"/>
      <c r="C311" s="16"/>
      <c r="D311" s="16"/>
      <c r="E311" s="16"/>
      <c r="F311" s="16"/>
      <c r="G311" s="16"/>
      <c r="H311" s="16"/>
    </row>
    <row r="312" spans="1:8" ht="12.5">
      <c r="A312" s="16"/>
      <c r="B312" s="16"/>
      <c r="C312" s="16"/>
      <c r="D312" s="16"/>
      <c r="E312" s="16"/>
      <c r="F312" s="16"/>
      <c r="G312" s="16"/>
      <c r="H312" s="16"/>
    </row>
    <row r="313" spans="1:8" ht="12.5">
      <c r="A313" s="16"/>
      <c r="B313" s="16"/>
      <c r="C313" s="16"/>
      <c r="D313" s="16"/>
      <c r="E313" s="16"/>
      <c r="F313" s="16"/>
      <c r="G313" s="16"/>
      <c r="H313" s="16"/>
    </row>
    <row r="314" spans="1:8" ht="12.5">
      <c r="A314" s="16"/>
      <c r="B314" s="16"/>
      <c r="C314" s="16"/>
      <c r="D314" s="16"/>
      <c r="E314" s="16"/>
      <c r="F314" s="16"/>
      <c r="G314" s="16"/>
      <c r="H314" s="16"/>
    </row>
    <row r="315" spans="1:8" ht="12.5">
      <c r="A315" s="16"/>
      <c r="B315" s="16"/>
      <c r="C315" s="16"/>
      <c r="D315" s="16"/>
      <c r="E315" s="16"/>
      <c r="F315" s="16"/>
      <c r="G315" s="16"/>
      <c r="H315" s="16"/>
    </row>
    <row r="316" spans="1:8" ht="12.5">
      <c r="A316" s="16"/>
      <c r="B316" s="16"/>
      <c r="C316" s="16"/>
      <c r="D316" s="16"/>
      <c r="E316" s="16"/>
      <c r="F316" s="16"/>
      <c r="G316" s="16"/>
      <c r="H316" s="16"/>
    </row>
    <row r="317" spans="1:8" ht="12.5">
      <c r="A317" s="16"/>
      <c r="B317" s="16"/>
      <c r="C317" s="16"/>
      <c r="D317" s="16"/>
      <c r="E317" s="16"/>
      <c r="F317" s="16"/>
      <c r="G317" s="16"/>
      <c r="H317" s="16"/>
    </row>
    <row r="318" spans="1:8" ht="12.5">
      <c r="A318" s="16"/>
      <c r="B318" s="16"/>
      <c r="C318" s="16"/>
      <c r="D318" s="16"/>
      <c r="E318" s="16"/>
      <c r="F318" s="16"/>
      <c r="G318" s="16"/>
      <c r="H318" s="16"/>
    </row>
    <row r="319" spans="1:8" ht="12.5">
      <c r="A319" s="16"/>
      <c r="B319" s="16"/>
      <c r="C319" s="16"/>
      <c r="D319" s="16"/>
      <c r="E319" s="16"/>
      <c r="F319" s="16"/>
      <c r="G319" s="16"/>
      <c r="H319" s="16"/>
    </row>
    <row r="320" spans="1:8" ht="12.5">
      <c r="A320" s="16"/>
      <c r="B320" s="16"/>
      <c r="C320" s="16"/>
      <c r="D320" s="16"/>
      <c r="E320" s="16"/>
      <c r="F320" s="16"/>
      <c r="G320" s="16"/>
      <c r="H320" s="16"/>
    </row>
    <row r="321" spans="1:8" ht="12.5">
      <c r="A321" s="16"/>
      <c r="B321" s="16"/>
      <c r="C321" s="16"/>
      <c r="D321" s="16"/>
      <c r="E321" s="16"/>
      <c r="F321" s="16"/>
      <c r="G321" s="16"/>
      <c r="H321" s="16"/>
    </row>
    <row r="322" spans="1:8" ht="12.5">
      <c r="A322" s="16"/>
      <c r="B322" s="16"/>
      <c r="C322" s="16"/>
      <c r="D322" s="16"/>
      <c r="E322" s="16"/>
      <c r="F322" s="16"/>
      <c r="G322" s="16"/>
      <c r="H322" s="16"/>
    </row>
    <row r="323" spans="1:8" ht="12.5">
      <c r="A323" s="16"/>
      <c r="B323" s="16"/>
      <c r="C323" s="16"/>
      <c r="D323" s="16"/>
      <c r="E323" s="16"/>
      <c r="F323" s="16"/>
      <c r="G323" s="16"/>
      <c r="H323" s="16"/>
    </row>
    <row r="324" spans="1:8" ht="12.5">
      <c r="A324" s="16"/>
      <c r="B324" s="16"/>
      <c r="C324" s="16"/>
      <c r="D324" s="16"/>
      <c r="E324" s="16"/>
      <c r="F324" s="16"/>
      <c r="G324" s="16"/>
      <c r="H324" s="16"/>
    </row>
    <row r="325" spans="1:8" ht="12.5">
      <c r="A325" s="16"/>
      <c r="B325" s="16"/>
      <c r="C325" s="16"/>
      <c r="D325" s="16"/>
      <c r="E325" s="16"/>
      <c r="F325" s="16"/>
      <c r="G325" s="16"/>
      <c r="H325" s="16"/>
    </row>
    <row r="326" spans="1:8" ht="12.5">
      <c r="A326" s="16"/>
      <c r="B326" s="16"/>
      <c r="C326" s="16"/>
      <c r="D326" s="16"/>
      <c r="E326" s="16"/>
      <c r="F326" s="16"/>
      <c r="G326" s="16"/>
      <c r="H326" s="16"/>
    </row>
    <row r="327" spans="1:8" ht="12.5">
      <c r="A327" s="16"/>
      <c r="B327" s="16"/>
      <c r="C327" s="16"/>
      <c r="D327" s="16"/>
      <c r="E327" s="16"/>
      <c r="F327" s="16"/>
      <c r="G327" s="16"/>
      <c r="H327" s="16"/>
    </row>
    <row r="328" spans="1:8" ht="12.5">
      <c r="A328" s="16"/>
      <c r="B328" s="16"/>
      <c r="C328" s="16"/>
      <c r="D328" s="16"/>
      <c r="E328" s="16"/>
      <c r="F328" s="16"/>
      <c r="G328" s="16"/>
      <c r="H328" s="16"/>
    </row>
    <row r="329" spans="1:8" ht="12.5">
      <c r="A329" s="16"/>
      <c r="B329" s="16"/>
      <c r="C329" s="16"/>
      <c r="D329" s="16"/>
      <c r="E329" s="16"/>
      <c r="F329" s="16"/>
      <c r="G329" s="16"/>
      <c r="H329" s="16"/>
    </row>
    <row r="330" spans="1:8" ht="12.5">
      <c r="A330" s="16"/>
      <c r="B330" s="16"/>
      <c r="C330" s="16"/>
      <c r="D330" s="16"/>
      <c r="E330" s="16"/>
      <c r="F330" s="16"/>
      <c r="G330" s="16"/>
      <c r="H330" s="16"/>
    </row>
    <row r="331" spans="1:8" ht="12.5">
      <c r="A331" s="16"/>
      <c r="B331" s="16"/>
      <c r="C331" s="16"/>
      <c r="D331" s="16"/>
      <c r="E331" s="16"/>
      <c r="F331" s="16"/>
      <c r="G331" s="16"/>
      <c r="H331" s="16"/>
    </row>
    <row r="332" spans="1:8" ht="12.5">
      <c r="A332" s="16"/>
      <c r="B332" s="16"/>
      <c r="C332" s="16"/>
      <c r="D332" s="16"/>
      <c r="E332" s="16"/>
      <c r="F332" s="16"/>
      <c r="G332" s="16"/>
      <c r="H332" s="16"/>
    </row>
    <row r="333" spans="1:8" ht="12.5">
      <c r="A333" s="16"/>
      <c r="B333" s="16"/>
      <c r="C333" s="16"/>
      <c r="D333" s="16"/>
      <c r="E333" s="16"/>
      <c r="F333" s="16"/>
      <c r="G333" s="16"/>
      <c r="H333" s="16"/>
    </row>
    <row r="334" spans="1:8" ht="12.5">
      <c r="A334" s="16"/>
      <c r="B334" s="16"/>
      <c r="C334" s="16"/>
      <c r="D334" s="16"/>
      <c r="E334" s="16"/>
      <c r="F334" s="16"/>
      <c r="G334" s="16"/>
      <c r="H334" s="16"/>
    </row>
    <row r="335" spans="1:8" ht="12.5">
      <c r="A335" s="16"/>
      <c r="B335" s="16"/>
      <c r="C335" s="16"/>
      <c r="D335" s="16"/>
      <c r="E335" s="16"/>
      <c r="F335" s="16"/>
      <c r="G335" s="16"/>
      <c r="H335" s="16"/>
    </row>
    <row r="336" spans="1:8" ht="12.5">
      <c r="A336" s="16"/>
      <c r="B336" s="16"/>
      <c r="C336" s="16"/>
      <c r="D336" s="16"/>
      <c r="E336" s="16"/>
      <c r="F336" s="16"/>
      <c r="G336" s="16"/>
      <c r="H336" s="16"/>
    </row>
    <row r="337" spans="1:8" ht="12.5">
      <c r="A337" s="16"/>
      <c r="B337" s="16"/>
      <c r="C337" s="16"/>
      <c r="D337" s="16"/>
      <c r="E337" s="16"/>
      <c r="F337" s="16"/>
      <c r="G337" s="16"/>
      <c r="H337" s="16"/>
    </row>
    <row r="338" spans="1:8" ht="12.5">
      <c r="A338" s="16"/>
      <c r="B338" s="16"/>
      <c r="C338" s="16"/>
      <c r="D338" s="16"/>
      <c r="E338" s="16"/>
      <c r="F338" s="16"/>
      <c r="G338" s="16"/>
      <c r="H338" s="16"/>
    </row>
    <row r="339" spans="1:8" ht="12.5">
      <c r="A339" s="16"/>
      <c r="B339" s="16"/>
      <c r="C339" s="16"/>
      <c r="D339" s="16"/>
      <c r="E339" s="16"/>
      <c r="F339" s="16"/>
      <c r="G339" s="16"/>
      <c r="H339" s="16"/>
    </row>
    <row r="340" spans="1:8" ht="12.5">
      <c r="A340" s="16"/>
      <c r="B340" s="16"/>
      <c r="C340" s="16"/>
      <c r="D340" s="16"/>
      <c r="E340" s="16"/>
      <c r="F340" s="16"/>
      <c r="G340" s="16"/>
      <c r="H340" s="16"/>
    </row>
    <row r="341" spans="1:8" ht="12.5">
      <c r="A341" s="16"/>
      <c r="B341" s="16"/>
      <c r="C341" s="16"/>
      <c r="D341" s="16"/>
      <c r="E341" s="16"/>
      <c r="F341" s="16"/>
      <c r="G341" s="16"/>
      <c r="H341" s="16"/>
    </row>
    <row r="342" spans="1:8" ht="12.5">
      <c r="A342" s="16"/>
      <c r="B342" s="16"/>
      <c r="C342" s="16"/>
      <c r="D342" s="16"/>
      <c r="E342" s="16"/>
      <c r="F342" s="16"/>
      <c r="G342" s="16"/>
      <c r="H342" s="16"/>
    </row>
    <row r="343" spans="1:8" ht="12.5">
      <c r="A343" s="16"/>
      <c r="B343" s="16"/>
      <c r="C343" s="16"/>
      <c r="D343" s="16"/>
      <c r="E343" s="16"/>
      <c r="F343" s="16"/>
      <c r="G343" s="16"/>
      <c r="H343" s="16"/>
    </row>
    <row r="344" spans="1:8" ht="12.5">
      <c r="A344" s="16"/>
      <c r="B344" s="16"/>
      <c r="C344" s="16"/>
      <c r="D344" s="16"/>
      <c r="E344" s="16"/>
      <c r="F344" s="16"/>
      <c r="G344" s="16"/>
      <c r="H344" s="16"/>
    </row>
    <row r="345" spans="1:8" ht="12.5">
      <c r="A345" s="16"/>
      <c r="B345" s="16"/>
      <c r="C345" s="16"/>
      <c r="D345" s="16"/>
      <c r="E345" s="16"/>
      <c r="F345" s="16"/>
      <c r="G345" s="16"/>
      <c r="H345" s="16"/>
    </row>
    <row r="346" spans="1:8" ht="12.5">
      <c r="A346" s="16"/>
      <c r="B346" s="16"/>
      <c r="C346" s="16"/>
      <c r="D346" s="16"/>
      <c r="E346" s="16"/>
      <c r="F346" s="16"/>
      <c r="G346" s="16"/>
      <c r="H346" s="16"/>
    </row>
    <row r="347" spans="1:8" ht="12.5">
      <c r="A347" s="16"/>
      <c r="B347" s="16"/>
      <c r="C347" s="16"/>
      <c r="D347" s="16"/>
      <c r="E347" s="16"/>
      <c r="F347" s="16"/>
      <c r="G347" s="16"/>
      <c r="H347" s="16"/>
    </row>
    <row r="348" spans="1:8" ht="12.5">
      <c r="A348" s="16"/>
      <c r="B348" s="16"/>
      <c r="C348" s="16"/>
      <c r="D348" s="16"/>
      <c r="E348" s="16"/>
      <c r="F348" s="16"/>
      <c r="G348" s="16"/>
      <c r="H348" s="16"/>
    </row>
    <row r="349" spans="1:8" ht="12.5">
      <c r="A349" s="16"/>
      <c r="B349" s="16"/>
      <c r="C349" s="16"/>
      <c r="D349" s="16"/>
      <c r="E349" s="16"/>
      <c r="F349" s="16"/>
      <c r="G349" s="16"/>
      <c r="H349" s="16"/>
    </row>
    <row r="350" spans="1:8" ht="12.5">
      <c r="A350" s="16"/>
      <c r="B350" s="16"/>
      <c r="C350" s="16"/>
      <c r="D350" s="16"/>
      <c r="E350" s="16"/>
      <c r="F350" s="16"/>
      <c r="G350" s="16"/>
      <c r="H350" s="16"/>
    </row>
    <row r="351" spans="1:8" ht="12.5">
      <c r="A351" s="16"/>
      <c r="B351" s="16"/>
      <c r="C351" s="16"/>
      <c r="D351" s="16"/>
      <c r="E351" s="16"/>
      <c r="F351" s="16"/>
      <c r="G351" s="16"/>
      <c r="H351" s="16"/>
    </row>
    <row r="352" spans="1:8" ht="12.5">
      <c r="A352" s="16"/>
      <c r="B352" s="16"/>
      <c r="C352" s="16"/>
      <c r="D352" s="16"/>
      <c r="E352" s="16"/>
      <c r="F352" s="16"/>
      <c r="G352" s="16"/>
      <c r="H352" s="16"/>
    </row>
    <row r="353" spans="1:8" ht="12.5">
      <c r="A353" s="16"/>
      <c r="B353" s="16"/>
      <c r="C353" s="16"/>
      <c r="D353" s="16"/>
      <c r="E353" s="16"/>
      <c r="F353" s="16"/>
      <c r="G353" s="16"/>
      <c r="H353" s="16"/>
    </row>
    <row r="354" spans="1:8" ht="12.5">
      <c r="A354" s="16"/>
      <c r="B354" s="16"/>
      <c r="C354" s="16"/>
      <c r="D354" s="16"/>
      <c r="E354" s="16"/>
      <c r="F354" s="16"/>
      <c r="G354" s="16"/>
      <c r="H354" s="16"/>
    </row>
    <row r="355" spans="1:8" ht="12.5">
      <c r="A355" s="16"/>
      <c r="B355" s="16"/>
      <c r="C355" s="16"/>
      <c r="D355" s="16"/>
      <c r="E355" s="16"/>
      <c r="F355" s="16"/>
      <c r="G355" s="16"/>
      <c r="H355" s="16"/>
    </row>
    <row r="356" spans="1:8" ht="12.5">
      <c r="A356" s="16"/>
      <c r="B356" s="16"/>
      <c r="C356" s="16"/>
      <c r="D356" s="16"/>
      <c r="E356" s="16"/>
      <c r="F356" s="16"/>
      <c r="G356" s="16"/>
      <c r="H356" s="16"/>
    </row>
    <row r="357" spans="1:8" ht="12.5">
      <c r="A357" s="16"/>
      <c r="B357" s="16"/>
      <c r="C357" s="16"/>
      <c r="D357" s="16"/>
      <c r="E357" s="16"/>
      <c r="F357" s="16"/>
      <c r="G357" s="16"/>
      <c r="H357" s="16"/>
    </row>
    <row r="358" spans="1:8" ht="12.5">
      <c r="A358" s="16"/>
      <c r="B358" s="16"/>
      <c r="C358" s="16"/>
      <c r="D358" s="16"/>
      <c r="E358" s="16"/>
      <c r="F358" s="16"/>
      <c r="G358" s="16"/>
      <c r="H358" s="16"/>
    </row>
    <row r="359" spans="1:8" ht="12.5">
      <c r="A359" s="16"/>
      <c r="B359" s="16"/>
      <c r="C359" s="16"/>
      <c r="D359" s="16"/>
      <c r="E359" s="16"/>
      <c r="F359" s="16"/>
      <c r="G359" s="16"/>
      <c r="H359" s="16"/>
    </row>
    <row r="360" spans="1:8" ht="12.5">
      <c r="A360" s="16"/>
      <c r="B360" s="16"/>
      <c r="C360" s="16"/>
      <c r="D360" s="16"/>
      <c r="E360" s="16"/>
      <c r="F360" s="16"/>
      <c r="G360" s="16"/>
      <c r="H360" s="16"/>
    </row>
    <row r="361" spans="1:8" ht="12.5">
      <c r="A361" s="16"/>
      <c r="B361" s="16"/>
      <c r="C361" s="16"/>
      <c r="D361" s="16"/>
      <c r="E361" s="16"/>
      <c r="F361" s="16"/>
      <c r="G361" s="16"/>
      <c r="H361" s="16"/>
    </row>
    <row r="362" spans="1:8" ht="12.5">
      <c r="A362" s="16"/>
      <c r="B362" s="16"/>
      <c r="C362" s="16"/>
      <c r="D362" s="16"/>
      <c r="E362" s="16"/>
      <c r="F362" s="16"/>
      <c r="G362" s="16"/>
      <c r="H362" s="16"/>
    </row>
    <row r="363" spans="1:8" ht="12.5">
      <c r="A363" s="16"/>
      <c r="B363" s="16"/>
      <c r="C363" s="16"/>
      <c r="D363" s="16"/>
      <c r="E363" s="16"/>
      <c r="F363" s="16"/>
      <c r="G363" s="16"/>
      <c r="H363" s="16"/>
    </row>
    <row r="364" spans="1:8" ht="12.5">
      <c r="A364" s="16"/>
      <c r="B364" s="16"/>
      <c r="C364" s="16"/>
      <c r="D364" s="16"/>
      <c r="E364" s="16"/>
      <c r="F364" s="16"/>
      <c r="G364" s="16"/>
      <c r="H364" s="16"/>
    </row>
    <row r="365" spans="1:8" ht="12.5">
      <c r="A365" s="16"/>
      <c r="B365" s="16"/>
      <c r="C365" s="16"/>
      <c r="D365" s="16"/>
      <c r="E365" s="16"/>
      <c r="F365" s="16"/>
      <c r="G365" s="16"/>
      <c r="H365" s="16"/>
    </row>
    <row r="366" spans="1:8" ht="12.5">
      <c r="A366" s="16"/>
      <c r="B366" s="16"/>
      <c r="C366" s="16"/>
      <c r="D366" s="16"/>
      <c r="E366" s="16"/>
      <c r="F366" s="16"/>
      <c r="G366" s="16"/>
      <c r="H366" s="16"/>
    </row>
    <row r="367" spans="1:8" ht="12.5">
      <c r="A367" s="16"/>
      <c r="B367" s="16"/>
      <c r="C367" s="16"/>
      <c r="D367" s="16"/>
      <c r="E367" s="16"/>
      <c r="F367" s="16"/>
      <c r="G367" s="16"/>
      <c r="H367" s="16"/>
    </row>
    <row r="368" spans="1:8" ht="12.5">
      <c r="A368" s="16"/>
      <c r="B368" s="16"/>
      <c r="C368" s="16"/>
      <c r="D368" s="16"/>
      <c r="E368" s="16"/>
      <c r="F368" s="16"/>
      <c r="G368" s="16"/>
      <c r="H368" s="16"/>
    </row>
    <row r="369" spans="1:8" ht="12.5">
      <c r="A369" s="16"/>
      <c r="B369" s="16"/>
      <c r="C369" s="16"/>
      <c r="D369" s="16"/>
      <c r="E369" s="16"/>
      <c r="F369" s="16"/>
      <c r="G369" s="16"/>
      <c r="H369" s="16"/>
    </row>
    <row r="370" spans="1:8" ht="12.5">
      <c r="A370" s="16"/>
      <c r="B370" s="16"/>
      <c r="C370" s="16"/>
      <c r="D370" s="16"/>
      <c r="E370" s="16"/>
      <c r="F370" s="16"/>
      <c r="G370" s="16"/>
      <c r="H370" s="16"/>
    </row>
    <row r="371" spans="1:8" ht="12.5">
      <c r="A371" s="16"/>
      <c r="B371" s="16"/>
      <c r="C371" s="16"/>
      <c r="D371" s="16"/>
      <c r="E371" s="16"/>
      <c r="F371" s="16"/>
      <c r="G371" s="16"/>
      <c r="H371" s="16"/>
    </row>
    <row r="372" spans="1:8" ht="12.5">
      <c r="A372" s="16"/>
      <c r="B372" s="16"/>
      <c r="C372" s="16"/>
      <c r="D372" s="16"/>
      <c r="E372" s="16"/>
      <c r="F372" s="16"/>
      <c r="G372" s="16"/>
      <c r="H372" s="16"/>
    </row>
    <row r="373" spans="1:8" ht="12.5">
      <c r="A373" s="16"/>
      <c r="B373" s="16"/>
      <c r="C373" s="16"/>
      <c r="D373" s="16"/>
      <c r="E373" s="16"/>
      <c r="F373" s="16"/>
      <c r="G373" s="16"/>
      <c r="H373" s="16"/>
    </row>
    <row r="374" spans="1:8" ht="12.5">
      <c r="A374" s="16"/>
      <c r="B374" s="16"/>
      <c r="C374" s="16"/>
      <c r="D374" s="16"/>
      <c r="E374" s="16"/>
      <c r="F374" s="16"/>
      <c r="G374" s="16"/>
      <c r="H374" s="16"/>
    </row>
    <row r="375" spans="1:8" ht="12.5">
      <c r="A375" s="16"/>
      <c r="B375" s="16"/>
      <c r="C375" s="16"/>
      <c r="D375" s="16"/>
      <c r="E375" s="16"/>
      <c r="F375" s="16"/>
      <c r="G375" s="16"/>
      <c r="H375" s="16"/>
    </row>
    <row r="376" spans="1:8" ht="12.5">
      <c r="A376" s="16"/>
      <c r="B376" s="16"/>
      <c r="C376" s="16"/>
      <c r="D376" s="16"/>
      <c r="E376" s="16"/>
      <c r="F376" s="16"/>
      <c r="G376" s="16"/>
      <c r="H376" s="16"/>
    </row>
    <row r="377" spans="1:8" ht="12.5">
      <c r="A377" s="16"/>
      <c r="B377" s="16"/>
      <c r="C377" s="16"/>
      <c r="D377" s="16"/>
      <c r="E377" s="16"/>
      <c r="F377" s="16"/>
      <c r="G377" s="16"/>
      <c r="H377" s="16"/>
    </row>
    <row r="378" spans="1:8" ht="12.5">
      <c r="A378" s="16"/>
      <c r="B378" s="16"/>
      <c r="C378" s="16"/>
      <c r="D378" s="16"/>
      <c r="E378" s="16"/>
      <c r="F378" s="16"/>
      <c r="G378" s="16"/>
      <c r="H378" s="16"/>
    </row>
    <row r="379" spans="1:8" ht="12.5">
      <c r="A379" s="16"/>
      <c r="B379" s="16"/>
      <c r="C379" s="16"/>
      <c r="D379" s="16"/>
      <c r="E379" s="16"/>
      <c r="F379" s="16"/>
      <c r="G379" s="16"/>
      <c r="H379" s="16"/>
    </row>
    <row r="380" spans="1:8" ht="12.5">
      <c r="A380" s="16"/>
      <c r="B380" s="16"/>
      <c r="C380" s="16"/>
      <c r="D380" s="16"/>
      <c r="E380" s="16"/>
      <c r="F380" s="16"/>
      <c r="G380" s="16"/>
      <c r="H380" s="16"/>
    </row>
    <row r="381" spans="1:8" ht="12.5">
      <c r="A381" s="16"/>
      <c r="B381" s="16"/>
      <c r="C381" s="16"/>
      <c r="D381" s="16"/>
      <c r="E381" s="16"/>
      <c r="F381" s="16"/>
      <c r="G381" s="16"/>
      <c r="H381" s="16"/>
    </row>
    <row r="382" spans="1:8" ht="12.5">
      <c r="A382" s="16"/>
      <c r="B382" s="16"/>
      <c r="C382" s="16"/>
      <c r="D382" s="16"/>
      <c r="E382" s="16"/>
      <c r="F382" s="16"/>
      <c r="G382" s="16"/>
      <c r="H382" s="16"/>
    </row>
    <row r="383" spans="1:8" ht="12.5">
      <c r="A383" s="16"/>
      <c r="B383" s="16"/>
      <c r="C383" s="16"/>
      <c r="D383" s="16"/>
      <c r="E383" s="16"/>
      <c r="F383" s="16"/>
      <c r="G383" s="16"/>
      <c r="H383" s="16"/>
    </row>
    <row r="384" spans="1:8" ht="12.5">
      <c r="A384" s="16"/>
      <c r="B384" s="16"/>
      <c r="C384" s="16"/>
      <c r="D384" s="16"/>
      <c r="E384" s="16"/>
      <c r="F384" s="16"/>
      <c r="G384" s="16"/>
      <c r="H384" s="16"/>
    </row>
    <row r="385" spans="1:8" ht="12.5">
      <c r="A385" s="16"/>
      <c r="B385" s="16"/>
      <c r="C385" s="16"/>
      <c r="D385" s="16"/>
      <c r="E385" s="16"/>
      <c r="F385" s="16"/>
      <c r="G385" s="16"/>
      <c r="H385" s="16"/>
    </row>
    <row r="386" spans="1:8" ht="12.5">
      <c r="A386" s="16"/>
      <c r="B386" s="16"/>
      <c r="C386" s="16"/>
      <c r="D386" s="16"/>
      <c r="E386" s="16"/>
      <c r="F386" s="16"/>
      <c r="G386" s="16"/>
      <c r="H386" s="16"/>
    </row>
    <row r="387" spans="1:8" ht="12.5">
      <c r="A387" s="16"/>
      <c r="B387" s="16"/>
      <c r="C387" s="16"/>
      <c r="D387" s="16"/>
      <c r="E387" s="16"/>
      <c r="F387" s="16"/>
      <c r="G387" s="16"/>
      <c r="H387" s="16"/>
    </row>
    <row r="388" spans="1:8" ht="12.5">
      <c r="A388" s="16"/>
      <c r="B388" s="16"/>
      <c r="C388" s="16"/>
      <c r="D388" s="16"/>
      <c r="E388" s="16"/>
      <c r="F388" s="16"/>
      <c r="G388" s="16"/>
      <c r="H388" s="16"/>
    </row>
    <row r="389" spans="1:8" ht="12.5">
      <c r="A389" s="16"/>
      <c r="B389" s="16"/>
      <c r="C389" s="16"/>
      <c r="D389" s="16"/>
      <c r="E389" s="16"/>
      <c r="F389" s="16"/>
      <c r="G389" s="16"/>
      <c r="H389" s="16"/>
    </row>
    <row r="390" spans="1:8" ht="12.5">
      <c r="A390" s="16"/>
      <c r="B390" s="16"/>
      <c r="C390" s="16"/>
      <c r="D390" s="16"/>
      <c r="E390" s="16"/>
      <c r="F390" s="16"/>
      <c r="G390" s="16"/>
      <c r="H390" s="16"/>
    </row>
    <row r="391" spans="1:8" ht="12.5">
      <c r="A391" s="16"/>
      <c r="B391" s="16"/>
      <c r="C391" s="16"/>
      <c r="D391" s="16"/>
      <c r="E391" s="16"/>
      <c r="F391" s="16"/>
      <c r="G391" s="16"/>
      <c r="H391" s="16"/>
    </row>
    <row r="392" spans="1:8" ht="12.5">
      <c r="A392" s="16"/>
      <c r="B392" s="16"/>
      <c r="C392" s="16"/>
      <c r="D392" s="16"/>
      <c r="E392" s="16"/>
      <c r="F392" s="16"/>
      <c r="G392" s="16"/>
      <c r="H392" s="16"/>
    </row>
    <row r="393" spans="1:8" ht="12.5">
      <c r="A393" s="16"/>
      <c r="B393" s="16"/>
      <c r="C393" s="16"/>
      <c r="D393" s="16"/>
      <c r="E393" s="16"/>
      <c r="F393" s="16"/>
      <c r="G393" s="16"/>
      <c r="H393" s="16"/>
    </row>
    <row r="394" spans="1:8" ht="12.5">
      <c r="A394" s="16"/>
      <c r="B394" s="16"/>
      <c r="C394" s="16"/>
      <c r="D394" s="16"/>
      <c r="E394" s="16"/>
      <c r="F394" s="16"/>
      <c r="G394" s="16"/>
      <c r="H394" s="16"/>
    </row>
    <row r="395" spans="1:8" ht="12.5">
      <c r="A395" s="16"/>
      <c r="B395" s="16"/>
      <c r="C395" s="16"/>
      <c r="D395" s="16"/>
      <c r="E395" s="16"/>
      <c r="F395" s="16"/>
      <c r="G395" s="16"/>
      <c r="H395" s="16"/>
    </row>
    <row r="396" spans="1:8" ht="12.5">
      <c r="A396" s="16"/>
      <c r="B396" s="16"/>
      <c r="C396" s="16"/>
      <c r="D396" s="16"/>
      <c r="E396" s="16"/>
      <c r="F396" s="16"/>
      <c r="G396" s="16"/>
      <c r="H396" s="16"/>
    </row>
    <row r="397" spans="1:8" ht="12.5">
      <c r="A397" s="16"/>
      <c r="B397" s="16"/>
      <c r="C397" s="16"/>
      <c r="D397" s="16"/>
      <c r="E397" s="16"/>
      <c r="F397" s="16"/>
      <c r="G397" s="16"/>
      <c r="H397" s="16"/>
    </row>
    <row r="398" spans="1:8" ht="12.5">
      <c r="A398" s="16"/>
      <c r="B398" s="16"/>
      <c r="C398" s="16"/>
      <c r="D398" s="16"/>
      <c r="E398" s="16"/>
      <c r="F398" s="16"/>
      <c r="G398" s="16"/>
      <c r="H398" s="16"/>
    </row>
    <row r="399" spans="1:8" ht="12.5">
      <c r="A399" s="16"/>
      <c r="B399" s="16"/>
      <c r="C399" s="16"/>
      <c r="D399" s="16"/>
      <c r="E399" s="16"/>
      <c r="F399" s="16"/>
      <c r="G399" s="16"/>
      <c r="H399" s="16"/>
    </row>
    <row r="400" spans="1:8" ht="12.5">
      <c r="A400" s="16"/>
      <c r="B400" s="16"/>
      <c r="C400" s="16"/>
      <c r="D400" s="16"/>
      <c r="E400" s="16"/>
      <c r="F400" s="16"/>
      <c r="G400" s="16"/>
      <c r="H400" s="16"/>
    </row>
    <row r="401" spans="1:8" ht="12.5">
      <c r="A401" s="16"/>
      <c r="B401" s="16"/>
      <c r="C401" s="16"/>
      <c r="D401" s="16"/>
      <c r="E401" s="16"/>
      <c r="F401" s="16"/>
      <c r="G401" s="16"/>
      <c r="H401" s="16"/>
    </row>
    <row r="402" spans="1:8" ht="12.5">
      <c r="A402" s="16"/>
      <c r="B402" s="16"/>
      <c r="C402" s="16"/>
      <c r="D402" s="16"/>
      <c r="E402" s="16"/>
      <c r="F402" s="16"/>
      <c r="G402" s="16"/>
      <c r="H402" s="16"/>
    </row>
    <row r="403" spans="1:8" ht="12.5">
      <c r="A403" s="16"/>
      <c r="B403" s="16"/>
      <c r="C403" s="16"/>
      <c r="D403" s="16"/>
      <c r="E403" s="16"/>
      <c r="F403" s="16"/>
      <c r="G403" s="16"/>
      <c r="H403" s="16"/>
    </row>
    <row r="404" spans="1:8" ht="12.5">
      <c r="A404" s="16"/>
      <c r="B404" s="16"/>
      <c r="C404" s="16"/>
      <c r="D404" s="16"/>
      <c r="E404" s="16"/>
      <c r="F404" s="16"/>
      <c r="G404" s="16"/>
      <c r="H404" s="16"/>
    </row>
    <row r="405" spans="1:8" ht="12.5">
      <c r="A405" s="16"/>
      <c r="B405" s="16"/>
      <c r="C405" s="16"/>
      <c r="D405" s="16"/>
      <c r="E405" s="16"/>
      <c r="F405" s="16"/>
      <c r="G405" s="16"/>
      <c r="H405" s="16"/>
    </row>
    <row r="406" spans="1:8" ht="12.5">
      <c r="A406" s="16"/>
      <c r="B406" s="16"/>
      <c r="C406" s="16"/>
      <c r="D406" s="16"/>
      <c r="E406" s="16"/>
      <c r="F406" s="16"/>
      <c r="G406" s="16"/>
      <c r="H406" s="16"/>
    </row>
    <row r="407" spans="1:8" ht="12.5">
      <c r="A407" s="16"/>
      <c r="B407" s="16"/>
      <c r="C407" s="16"/>
      <c r="D407" s="16"/>
      <c r="E407" s="16"/>
      <c r="F407" s="16"/>
      <c r="G407" s="16"/>
      <c r="H407" s="16"/>
    </row>
    <row r="408" spans="1:8" ht="12.5">
      <c r="A408" s="16"/>
      <c r="B408" s="16"/>
      <c r="C408" s="16"/>
      <c r="D408" s="16"/>
      <c r="E408" s="16"/>
      <c r="F408" s="16"/>
      <c r="G408" s="16"/>
      <c r="H408" s="16"/>
    </row>
    <row r="409" spans="1:8" ht="12.5">
      <c r="A409" s="16"/>
      <c r="B409" s="16"/>
      <c r="C409" s="16"/>
      <c r="D409" s="16"/>
      <c r="E409" s="16"/>
      <c r="F409" s="16"/>
      <c r="G409" s="16"/>
      <c r="H409" s="16"/>
    </row>
    <row r="410" spans="1:8" ht="12.5">
      <c r="A410" s="16"/>
      <c r="B410" s="16"/>
      <c r="C410" s="16"/>
      <c r="D410" s="16"/>
      <c r="E410" s="16"/>
      <c r="F410" s="16"/>
      <c r="G410" s="16"/>
      <c r="H410" s="16"/>
    </row>
    <row r="411" spans="1:8" ht="12.5">
      <c r="A411" s="16"/>
      <c r="B411" s="16"/>
      <c r="C411" s="16"/>
      <c r="D411" s="16"/>
      <c r="E411" s="16"/>
      <c r="F411" s="16"/>
      <c r="G411" s="16"/>
      <c r="H411" s="16"/>
    </row>
    <row r="412" spans="1:8" ht="12.5">
      <c r="A412" s="16"/>
      <c r="B412" s="16"/>
      <c r="C412" s="16"/>
      <c r="D412" s="16"/>
      <c r="E412" s="16"/>
      <c r="F412" s="16"/>
      <c r="G412" s="16"/>
      <c r="H412" s="16"/>
    </row>
    <row r="413" spans="1:8" ht="12.5">
      <c r="A413" s="16"/>
      <c r="B413" s="16"/>
      <c r="C413" s="16"/>
      <c r="D413" s="16"/>
      <c r="E413" s="16"/>
      <c r="F413" s="16"/>
      <c r="G413" s="16"/>
      <c r="H413" s="16"/>
    </row>
    <row r="414" spans="1:8" ht="12.5">
      <c r="A414" s="16"/>
      <c r="B414" s="16"/>
      <c r="C414" s="16"/>
      <c r="D414" s="16"/>
      <c r="E414" s="16"/>
      <c r="F414" s="16"/>
      <c r="G414" s="16"/>
      <c r="H414" s="16"/>
    </row>
    <row r="415" spans="1:8" ht="12.5">
      <c r="A415" s="16"/>
      <c r="B415" s="16"/>
      <c r="C415" s="16"/>
      <c r="D415" s="16"/>
      <c r="E415" s="16"/>
      <c r="F415" s="16"/>
      <c r="G415" s="16"/>
      <c r="H415" s="16"/>
    </row>
    <row r="416" spans="1:8" ht="12.5">
      <c r="A416" s="16"/>
      <c r="B416" s="16"/>
      <c r="C416" s="16"/>
      <c r="D416" s="16"/>
      <c r="E416" s="16"/>
      <c r="F416" s="16"/>
      <c r="G416" s="16"/>
      <c r="H416" s="16"/>
    </row>
    <row r="417" spans="1:8" ht="12.5">
      <c r="A417" s="16"/>
      <c r="B417" s="16"/>
      <c r="C417" s="16"/>
      <c r="D417" s="16"/>
      <c r="E417" s="16"/>
      <c r="F417" s="16"/>
      <c r="G417" s="16"/>
      <c r="H417" s="16"/>
    </row>
    <row r="418" spans="1:8" ht="12.5">
      <c r="A418" s="16"/>
      <c r="B418" s="16"/>
      <c r="C418" s="16"/>
      <c r="D418" s="16"/>
      <c r="E418" s="16"/>
      <c r="F418" s="16"/>
      <c r="G418" s="16"/>
      <c r="H418" s="16"/>
    </row>
    <row r="419" spans="1:8" ht="12.5">
      <c r="A419" s="16"/>
      <c r="B419" s="16"/>
      <c r="C419" s="16"/>
      <c r="D419" s="16"/>
      <c r="E419" s="16"/>
      <c r="F419" s="16"/>
      <c r="G419" s="16"/>
      <c r="H419" s="16"/>
    </row>
    <row r="420" spans="1:8" ht="12.5">
      <c r="A420" s="16"/>
      <c r="B420" s="16"/>
      <c r="C420" s="16"/>
      <c r="D420" s="16"/>
      <c r="E420" s="16"/>
      <c r="F420" s="16"/>
      <c r="G420" s="16"/>
      <c r="H420" s="16"/>
    </row>
    <row r="421" spans="1:8" ht="12.5">
      <c r="A421" s="16"/>
      <c r="B421" s="16"/>
      <c r="C421" s="16"/>
      <c r="D421" s="16"/>
      <c r="E421" s="16"/>
      <c r="F421" s="16"/>
      <c r="G421" s="16"/>
      <c r="H421" s="16"/>
    </row>
    <row r="422" spans="1:8" ht="12.5">
      <c r="A422" s="16"/>
      <c r="B422" s="16"/>
      <c r="C422" s="16"/>
      <c r="D422" s="16"/>
      <c r="E422" s="16"/>
      <c r="F422" s="16"/>
      <c r="G422" s="16"/>
      <c r="H422" s="16"/>
    </row>
    <row r="423" spans="1:8" ht="12.5">
      <c r="A423" s="16"/>
      <c r="B423" s="16"/>
      <c r="C423" s="16"/>
      <c r="D423" s="16"/>
      <c r="E423" s="16"/>
      <c r="F423" s="16"/>
      <c r="G423" s="16"/>
      <c r="H423" s="16"/>
    </row>
    <row r="424" spans="1:8" ht="12.5">
      <c r="A424" s="16"/>
      <c r="B424" s="16"/>
      <c r="C424" s="16"/>
      <c r="D424" s="16"/>
      <c r="E424" s="16"/>
      <c r="F424" s="16"/>
      <c r="G424" s="16"/>
      <c r="H424" s="16"/>
    </row>
    <row r="425" spans="1:8" ht="12.5">
      <c r="A425" s="16"/>
      <c r="B425" s="16"/>
      <c r="C425" s="16"/>
      <c r="D425" s="16"/>
      <c r="E425" s="16"/>
      <c r="F425" s="16"/>
      <c r="G425" s="16"/>
      <c r="H425" s="16"/>
    </row>
    <row r="426" spans="1:8" ht="12.5">
      <c r="A426" s="16"/>
      <c r="B426" s="16"/>
      <c r="C426" s="16"/>
      <c r="D426" s="16"/>
      <c r="E426" s="16"/>
      <c r="F426" s="16"/>
      <c r="G426" s="16"/>
      <c r="H426" s="16"/>
    </row>
    <row r="427" spans="1:8" ht="12.5">
      <c r="A427" s="16"/>
      <c r="B427" s="16"/>
      <c r="C427" s="16"/>
      <c r="D427" s="16"/>
      <c r="E427" s="16"/>
      <c r="F427" s="16"/>
      <c r="G427" s="16"/>
      <c r="H427" s="16"/>
    </row>
    <row r="428" spans="1:8" ht="12.5">
      <c r="A428" s="16"/>
      <c r="B428" s="16"/>
      <c r="C428" s="16"/>
      <c r="D428" s="16"/>
      <c r="E428" s="16"/>
      <c r="F428" s="16"/>
      <c r="G428" s="16"/>
      <c r="H428" s="16"/>
    </row>
    <row r="429" spans="1:8" ht="12.5">
      <c r="A429" s="16"/>
      <c r="B429" s="16"/>
      <c r="C429" s="16"/>
      <c r="D429" s="16"/>
      <c r="E429" s="16"/>
      <c r="F429" s="16"/>
      <c r="G429" s="16"/>
      <c r="H429" s="16"/>
    </row>
    <row r="430" spans="1:8" ht="12.5">
      <c r="A430" s="16"/>
      <c r="B430" s="16"/>
      <c r="C430" s="16"/>
      <c r="D430" s="16"/>
      <c r="E430" s="16"/>
      <c r="F430" s="16"/>
      <c r="G430" s="16"/>
      <c r="H430" s="16"/>
    </row>
    <row r="431" spans="1:8" ht="12.5">
      <c r="A431" s="16"/>
      <c r="B431" s="16"/>
      <c r="C431" s="16"/>
      <c r="D431" s="16"/>
      <c r="E431" s="16"/>
      <c r="F431" s="16"/>
      <c r="G431" s="16"/>
      <c r="H431" s="16"/>
    </row>
    <row r="432" spans="1:8" ht="12.5">
      <c r="A432" s="16"/>
      <c r="B432" s="16"/>
      <c r="C432" s="16"/>
      <c r="D432" s="16"/>
      <c r="E432" s="16"/>
      <c r="F432" s="16"/>
      <c r="G432" s="16"/>
      <c r="H432" s="16"/>
    </row>
    <row r="433" spans="1:8" ht="12.5">
      <c r="A433" s="16"/>
      <c r="B433" s="16"/>
      <c r="C433" s="16"/>
      <c r="D433" s="16"/>
      <c r="E433" s="16"/>
      <c r="F433" s="16"/>
      <c r="G433" s="16"/>
      <c r="H433" s="16"/>
    </row>
    <row r="434" spans="1:8" ht="12.5">
      <c r="A434" s="16"/>
      <c r="B434" s="16"/>
      <c r="C434" s="16"/>
      <c r="D434" s="16"/>
      <c r="E434" s="16"/>
      <c r="F434" s="16"/>
      <c r="G434" s="16"/>
      <c r="H434" s="16"/>
    </row>
    <row r="435" spans="1:8" ht="12.5">
      <c r="A435" s="16"/>
      <c r="B435" s="16"/>
      <c r="C435" s="16"/>
      <c r="D435" s="16"/>
      <c r="E435" s="16"/>
      <c r="F435" s="16"/>
      <c r="G435" s="16"/>
      <c r="H435" s="16"/>
    </row>
    <row r="436" spans="1:8" ht="12.5">
      <c r="A436" s="16"/>
      <c r="B436" s="16"/>
      <c r="C436" s="16"/>
      <c r="D436" s="16"/>
      <c r="E436" s="16"/>
      <c r="F436" s="16"/>
      <c r="G436" s="16"/>
      <c r="H436" s="16"/>
    </row>
    <row r="437" spans="1:8" ht="12.5">
      <c r="A437" s="16"/>
      <c r="B437" s="16"/>
      <c r="C437" s="16"/>
      <c r="D437" s="16"/>
      <c r="E437" s="16"/>
      <c r="F437" s="16"/>
      <c r="G437" s="16"/>
      <c r="H437" s="16"/>
    </row>
    <row r="438" spans="1:8" ht="12.5">
      <c r="A438" s="16"/>
      <c r="B438" s="16"/>
      <c r="C438" s="16"/>
      <c r="D438" s="16"/>
      <c r="E438" s="16"/>
      <c r="F438" s="16"/>
      <c r="G438" s="16"/>
      <c r="H438" s="16"/>
    </row>
    <row r="439" spans="1:8" ht="12.5">
      <c r="A439" s="16"/>
      <c r="B439" s="16"/>
      <c r="C439" s="16"/>
      <c r="D439" s="16"/>
      <c r="E439" s="16"/>
      <c r="F439" s="16"/>
      <c r="G439" s="16"/>
      <c r="H439" s="16"/>
    </row>
    <row r="440" spans="1:8" ht="12.5">
      <c r="A440" s="16"/>
      <c r="B440" s="16"/>
      <c r="C440" s="16"/>
      <c r="D440" s="16"/>
      <c r="E440" s="16"/>
      <c r="F440" s="16"/>
      <c r="G440" s="16"/>
      <c r="H440" s="16"/>
    </row>
    <row r="441" spans="1:8" ht="12.5">
      <c r="A441" s="16"/>
      <c r="B441" s="16"/>
      <c r="C441" s="16"/>
      <c r="D441" s="16"/>
      <c r="E441" s="16"/>
      <c r="F441" s="16"/>
      <c r="G441" s="16"/>
      <c r="H441" s="16"/>
    </row>
    <row r="442" spans="1:8" ht="12.5">
      <c r="A442" s="16"/>
      <c r="B442" s="16"/>
      <c r="C442" s="16"/>
      <c r="D442" s="16"/>
      <c r="E442" s="16"/>
      <c r="F442" s="16"/>
      <c r="G442" s="16"/>
      <c r="H442" s="16"/>
    </row>
    <row r="443" spans="1:8" ht="12.5">
      <c r="A443" s="16"/>
      <c r="B443" s="16"/>
      <c r="C443" s="16"/>
      <c r="D443" s="16"/>
      <c r="E443" s="16"/>
      <c r="F443" s="16"/>
      <c r="G443" s="16"/>
      <c r="H443" s="16"/>
    </row>
    <row r="444" spans="1:8" ht="12.5">
      <c r="A444" s="16"/>
      <c r="B444" s="16"/>
      <c r="C444" s="16"/>
      <c r="D444" s="16"/>
      <c r="E444" s="16"/>
      <c r="F444" s="16"/>
      <c r="G444" s="16"/>
      <c r="H444" s="16"/>
    </row>
    <row r="445" spans="1:8" ht="12.5">
      <c r="A445" s="16"/>
      <c r="B445" s="16"/>
      <c r="C445" s="16"/>
      <c r="D445" s="16"/>
      <c r="E445" s="16"/>
      <c r="F445" s="16"/>
      <c r="G445" s="16"/>
      <c r="H445" s="16"/>
    </row>
    <row r="446" spans="1:8" ht="12.5">
      <c r="A446" s="16"/>
      <c r="B446" s="16"/>
      <c r="C446" s="16"/>
      <c r="D446" s="16"/>
      <c r="E446" s="16"/>
      <c r="F446" s="16"/>
      <c r="G446" s="16"/>
      <c r="H446" s="16"/>
    </row>
    <row r="447" spans="1:8" ht="12.5">
      <c r="A447" s="16"/>
      <c r="B447" s="16"/>
      <c r="C447" s="16"/>
      <c r="D447" s="16"/>
      <c r="E447" s="16"/>
      <c r="F447" s="16"/>
      <c r="G447" s="16"/>
      <c r="H447" s="16"/>
    </row>
    <row r="448" spans="1:8" ht="12.5">
      <c r="A448" s="16"/>
      <c r="B448" s="16"/>
      <c r="C448" s="16"/>
      <c r="D448" s="16"/>
      <c r="E448" s="16"/>
      <c r="F448" s="16"/>
      <c r="G448" s="16"/>
      <c r="H448" s="16"/>
    </row>
    <row r="449" spans="1:8" ht="12.5">
      <c r="A449" s="16"/>
      <c r="B449" s="16"/>
      <c r="C449" s="16"/>
      <c r="D449" s="16"/>
      <c r="E449" s="16"/>
      <c r="F449" s="16"/>
      <c r="G449" s="16"/>
      <c r="H449" s="16"/>
    </row>
    <row r="450" spans="1:8" ht="12.5">
      <c r="A450" s="16"/>
      <c r="B450" s="16"/>
      <c r="C450" s="16"/>
      <c r="D450" s="16"/>
      <c r="E450" s="16"/>
      <c r="F450" s="16"/>
      <c r="G450" s="16"/>
      <c r="H450" s="16"/>
    </row>
    <row r="451" spans="1:8" ht="12.5">
      <c r="A451" s="16"/>
      <c r="B451" s="16"/>
      <c r="C451" s="16"/>
      <c r="D451" s="16"/>
      <c r="E451" s="16"/>
      <c r="F451" s="16"/>
      <c r="G451" s="16"/>
      <c r="H451" s="16"/>
    </row>
    <row r="452" spans="1:8" ht="12.5">
      <c r="A452" s="16"/>
      <c r="B452" s="16"/>
      <c r="C452" s="16"/>
      <c r="D452" s="16"/>
      <c r="E452" s="16"/>
      <c r="F452" s="16"/>
      <c r="G452" s="16"/>
      <c r="H452" s="16"/>
    </row>
    <row r="453" spans="1:8" ht="12.5">
      <c r="A453" s="16"/>
      <c r="B453" s="16"/>
      <c r="C453" s="16"/>
      <c r="D453" s="16"/>
      <c r="E453" s="16"/>
      <c r="F453" s="16"/>
      <c r="G453" s="16"/>
      <c r="H453" s="16"/>
    </row>
    <row r="454" spans="1:8" ht="12.5">
      <c r="A454" s="16"/>
      <c r="B454" s="16"/>
      <c r="C454" s="16"/>
      <c r="D454" s="16"/>
      <c r="E454" s="16"/>
      <c r="F454" s="16"/>
      <c r="G454" s="16"/>
      <c r="H454" s="16"/>
    </row>
    <row r="455" spans="1:8" ht="12.5">
      <c r="A455" s="16"/>
      <c r="B455" s="16"/>
      <c r="C455" s="16"/>
      <c r="D455" s="16"/>
      <c r="E455" s="16"/>
      <c r="F455" s="16"/>
      <c r="G455" s="16"/>
      <c r="H455" s="16"/>
    </row>
    <row r="456" spans="1:8" ht="12.5">
      <c r="A456" s="16"/>
      <c r="B456" s="16"/>
      <c r="C456" s="16"/>
      <c r="D456" s="16"/>
      <c r="E456" s="16"/>
      <c r="F456" s="16"/>
      <c r="G456" s="16"/>
      <c r="H456" s="16"/>
    </row>
    <row r="457" spans="1:8" ht="12.5">
      <c r="A457" s="16"/>
      <c r="B457" s="16"/>
      <c r="C457" s="16"/>
      <c r="D457" s="16"/>
      <c r="E457" s="16"/>
      <c r="F457" s="16"/>
      <c r="G457" s="16"/>
      <c r="H457" s="16"/>
    </row>
    <row r="458" spans="1:8" ht="12.5">
      <c r="A458" s="16"/>
      <c r="B458" s="16"/>
      <c r="C458" s="16"/>
      <c r="D458" s="16"/>
      <c r="E458" s="16"/>
      <c r="F458" s="16"/>
      <c r="G458" s="16"/>
      <c r="H458" s="16"/>
    </row>
    <row r="459" spans="1:8" ht="12.5">
      <c r="A459" s="16"/>
      <c r="B459" s="16"/>
      <c r="C459" s="16"/>
      <c r="D459" s="16"/>
      <c r="E459" s="16"/>
      <c r="F459" s="16"/>
      <c r="G459" s="16"/>
      <c r="H459" s="16"/>
    </row>
    <row r="460" spans="1:8" ht="12.5">
      <c r="A460" s="16"/>
      <c r="B460" s="16"/>
      <c r="C460" s="16"/>
      <c r="D460" s="16"/>
      <c r="E460" s="16"/>
      <c r="F460" s="16"/>
      <c r="G460" s="16"/>
      <c r="H460" s="16"/>
    </row>
    <row r="461" spans="1:8" ht="12.5">
      <c r="A461" s="16"/>
      <c r="B461" s="16"/>
      <c r="C461" s="16"/>
      <c r="D461" s="16"/>
      <c r="E461" s="16"/>
      <c r="F461" s="16"/>
      <c r="G461" s="16"/>
      <c r="H461" s="16"/>
    </row>
    <row r="462" spans="1:8" ht="12.5">
      <c r="A462" s="16"/>
      <c r="B462" s="16"/>
      <c r="C462" s="16"/>
      <c r="D462" s="16"/>
      <c r="E462" s="16"/>
      <c r="F462" s="16"/>
      <c r="G462" s="16"/>
      <c r="H462" s="16"/>
    </row>
    <row r="463" spans="1:8" ht="12.5">
      <c r="A463" s="16"/>
      <c r="B463" s="16"/>
      <c r="C463" s="16"/>
      <c r="D463" s="16"/>
      <c r="E463" s="16"/>
      <c r="F463" s="16"/>
      <c r="G463" s="16"/>
      <c r="H463" s="16"/>
    </row>
    <row r="464" spans="1:8" ht="12.5">
      <c r="A464" s="16"/>
      <c r="B464" s="16"/>
      <c r="C464" s="16"/>
      <c r="D464" s="16"/>
      <c r="E464" s="16"/>
      <c r="F464" s="16"/>
      <c r="G464" s="16"/>
      <c r="H464" s="16"/>
    </row>
    <row r="465" spans="1:8" ht="12.5">
      <c r="A465" s="16"/>
      <c r="B465" s="16"/>
      <c r="C465" s="16"/>
      <c r="D465" s="16"/>
      <c r="E465" s="16"/>
      <c r="F465" s="16"/>
      <c r="G465" s="16"/>
      <c r="H465" s="16"/>
    </row>
    <row r="466" spans="1:8" ht="12.5">
      <c r="A466" s="16"/>
      <c r="B466" s="16"/>
      <c r="C466" s="16"/>
      <c r="D466" s="16"/>
      <c r="E466" s="16"/>
      <c r="F466" s="16"/>
      <c r="G466" s="16"/>
      <c r="H466" s="16"/>
    </row>
    <row r="467" spans="1:8" ht="12.5">
      <c r="A467" s="16"/>
      <c r="B467" s="16"/>
      <c r="C467" s="16"/>
      <c r="D467" s="16"/>
      <c r="E467" s="16"/>
      <c r="F467" s="16"/>
      <c r="G467" s="16"/>
      <c r="H467" s="16"/>
    </row>
    <row r="468" spans="1:8" ht="12.5">
      <c r="A468" s="16"/>
      <c r="B468" s="16"/>
      <c r="C468" s="16"/>
      <c r="D468" s="16"/>
      <c r="E468" s="16"/>
      <c r="F468" s="16"/>
      <c r="G468" s="16"/>
      <c r="H468" s="16"/>
    </row>
    <row r="469" spans="1:8" ht="12.5">
      <c r="A469" s="16"/>
      <c r="B469" s="16"/>
      <c r="C469" s="16"/>
      <c r="D469" s="16"/>
      <c r="E469" s="16"/>
      <c r="F469" s="16"/>
      <c r="G469" s="16"/>
      <c r="H469" s="16"/>
    </row>
    <row r="470" spans="1:8" ht="12.5">
      <c r="A470" s="16"/>
      <c r="B470" s="16"/>
      <c r="C470" s="16"/>
      <c r="D470" s="16"/>
      <c r="E470" s="16"/>
      <c r="F470" s="16"/>
      <c r="G470" s="16"/>
      <c r="H470" s="16"/>
    </row>
    <row r="471" spans="1:8" ht="12.5">
      <c r="A471" s="16"/>
      <c r="B471" s="16"/>
      <c r="C471" s="16"/>
      <c r="D471" s="16"/>
      <c r="E471" s="16"/>
      <c r="F471" s="16"/>
      <c r="G471" s="16"/>
      <c r="H471" s="16"/>
    </row>
    <row r="472" spans="1:8" ht="12.5">
      <c r="A472" s="16"/>
      <c r="B472" s="16"/>
      <c r="C472" s="16"/>
      <c r="D472" s="16"/>
      <c r="E472" s="16"/>
      <c r="F472" s="16"/>
      <c r="G472" s="16"/>
      <c r="H472" s="16"/>
    </row>
    <row r="473" spans="1:8" ht="12.5">
      <c r="A473" s="16"/>
      <c r="B473" s="16"/>
      <c r="C473" s="16"/>
      <c r="D473" s="16"/>
      <c r="E473" s="16"/>
      <c r="F473" s="16"/>
      <c r="G473" s="16"/>
      <c r="H473" s="16"/>
    </row>
    <row r="474" spans="1:8" ht="12.5">
      <c r="A474" s="16"/>
      <c r="B474" s="16"/>
      <c r="C474" s="16"/>
      <c r="D474" s="16"/>
      <c r="E474" s="16"/>
      <c r="F474" s="16"/>
      <c r="G474" s="16"/>
      <c r="H474" s="16"/>
    </row>
    <row r="475" spans="1:8" ht="12.5">
      <c r="A475" s="16"/>
      <c r="B475" s="16"/>
      <c r="C475" s="16"/>
      <c r="D475" s="16"/>
      <c r="E475" s="16"/>
      <c r="F475" s="16"/>
      <c r="G475" s="16"/>
      <c r="H475" s="16"/>
    </row>
    <row r="476" spans="1:8" ht="12.5">
      <c r="A476" s="16"/>
      <c r="B476" s="16"/>
      <c r="C476" s="16"/>
      <c r="D476" s="16"/>
      <c r="E476" s="16"/>
      <c r="F476" s="16"/>
      <c r="G476" s="16"/>
      <c r="H476" s="16"/>
    </row>
    <row r="477" spans="1:8" ht="12.5">
      <c r="A477" s="16"/>
      <c r="B477" s="16"/>
      <c r="C477" s="16"/>
      <c r="D477" s="16"/>
      <c r="E477" s="16"/>
      <c r="F477" s="16"/>
      <c r="G477" s="16"/>
      <c r="H477" s="16"/>
    </row>
    <row r="478" spans="1:8" ht="12.5">
      <c r="A478" s="16"/>
      <c r="B478" s="16"/>
      <c r="C478" s="16"/>
      <c r="D478" s="16"/>
      <c r="E478" s="16"/>
      <c r="F478" s="16"/>
      <c r="G478" s="16"/>
      <c r="H478" s="16"/>
    </row>
    <row r="479" spans="1:8" ht="12.5">
      <c r="A479" s="16"/>
      <c r="B479" s="16"/>
      <c r="C479" s="16"/>
      <c r="D479" s="16"/>
      <c r="E479" s="16"/>
      <c r="F479" s="16"/>
      <c r="G479" s="16"/>
      <c r="H479" s="16"/>
    </row>
    <row r="480" spans="1:8" ht="12.5">
      <c r="A480" s="16"/>
      <c r="B480" s="16"/>
      <c r="C480" s="16"/>
      <c r="D480" s="16"/>
      <c r="E480" s="16"/>
      <c r="F480" s="16"/>
      <c r="G480" s="16"/>
      <c r="H480" s="16"/>
    </row>
    <row r="481" spans="1:8" ht="12.5">
      <c r="A481" s="16"/>
      <c r="B481" s="16"/>
      <c r="C481" s="16"/>
      <c r="D481" s="16"/>
      <c r="E481" s="16"/>
      <c r="F481" s="16"/>
      <c r="G481" s="16"/>
      <c r="H481" s="16"/>
    </row>
    <row r="482" spans="1:8" ht="12.5">
      <c r="A482" s="16"/>
      <c r="B482" s="16"/>
      <c r="C482" s="16"/>
      <c r="D482" s="16"/>
      <c r="E482" s="16"/>
      <c r="F482" s="16"/>
      <c r="G482" s="16"/>
      <c r="H482" s="16"/>
    </row>
    <row r="483" spans="1:8" ht="12.5">
      <c r="A483" s="16"/>
      <c r="B483" s="16"/>
      <c r="C483" s="16"/>
      <c r="D483" s="16"/>
      <c r="E483" s="16"/>
      <c r="F483" s="16"/>
      <c r="G483" s="16"/>
      <c r="H483" s="16"/>
    </row>
    <row r="484" spans="1:8" ht="12.5">
      <c r="A484" s="16"/>
      <c r="B484" s="16"/>
      <c r="C484" s="16"/>
      <c r="D484" s="16"/>
      <c r="E484" s="16"/>
      <c r="F484" s="16"/>
      <c r="G484" s="16"/>
      <c r="H484" s="16"/>
    </row>
    <row r="485" spans="1:8" ht="12.5">
      <c r="A485" s="16"/>
      <c r="B485" s="16"/>
      <c r="C485" s="16"/>
      <c r="D485" s="16"/>
      <c r="E485" s="16"/>
      <c r="F485" s="16"/>
      <c r="G485" s="16"/>
      <c r="H485" s="16"/>
    </row>
    <row r="486" spans="1:8" ht="12.5">
      <c r="A486" s="16"/>
      <c r="B486" s="16"/>
      <c r="C486" s="16"/>
      <c r="D486" s="16"/>
      <c r="E486" s="16"/>
      <c r="F486" s="16"/>
      <c r="G486" s="16"/>
      <c r="H486" s="16"/>
    </row>
    <row r="487" spans="1:8" ht="12.5">
      <c r="A487" s="16"/>
      <c r="B487" s="16"/>
      <c r="C487" s="16"/>
      <c r="D487" s="16"/>
      <c r="E487" s="16"/>
      <c r="F487" s="16"/>
      <c r="G487" s="16"/>
      <c r="H487" s="16"/>
    </row>
    <row r="488" spans="1:8" ht="12.5">
      <c r="A488" s="16"/>
      <c r="B488" s="16"/>
      <c r="C488" s="16"/>
      <c r="D488" s="16"/>
      <c r="E488" s="16"/>
      <c r="F488" s="16"/>
      <c r="G488" s="16"/>
      <c r="H488" s="16"/>
    </row>
    <row r="489" spans="1:8" ht="12.5">
      <c r="A489" s="16"/>
      <c r="B489" s="16"/>
      <c r="C489" s="16"/>
      <c r="D489" s="16"/>
      <c r="E489" s="16"/>
      <c r="F489" s="16"/>
      <c r="G489" s="16"/>
      <c r="H489" s="16"/>
    </row>
    <row r="490" spans="1:8" ht="12.5">
      <c r="A490" s="16"/>
      <c r="B490" s="16"/>
      <c r="C490" s="16"/>
      <c r="D490" s="16"/>
      <c r="E490" s="16"/>
      <c r="F490" s="16"/>
      <c r="G490" s="16"/>
      <c r="H490" s="16"/>
    </row>
    <row r="491" spans="1:8" ht="12.5">
      <c r="A491" s="16"/>
      <c r="B491" s="16"/>
      <c r="C491" s="16"/>
      <c r="D491" s="16"/>
      <c r="E491" s="16"/>
      <c r="F491" s="16"/>
      <c r="G491" s="16"/>
      <c r="H491" s="16"/>
    </row>
    <row r="492" spans="1:8" ht="12.5">
      <c r="A492" s="16"/>
      <c r="B492" s="16"/>
      <c r="C492" s="16"/>
      <c r="D492" s="16"/>
      <c r="E492" s="16"/>
      <c r="F492" s="16"/>
      <c r="G492" s="16"/>
      <c r="H492" s="16"/>
    </row>
    <row r="493" spans="1:8" ht="12.5">
      <c r="A493" s="16"/>
      <c r="B493" s="16"/>
      <c r="C493" s="16"/>
      <c r="D493" s="16"/>
      <c r="E493" s="16"/>
      <c r="F493" s="16"/>
      <c r="G493" s="16"/>
      <c r="H493" s="16"/>
    </row>
    <row r="494" spans="1:8" ht="12.5">
      <c r="A494" s="16"/>
      <c r="B494" s="16"/>
      <c r="C494" s="16"/>
      <c r="D494" s="16"/>
      <c r="E494" s="16"/>
      <c r="F494" s="16"/>
      <c r="G494" s="16"/>
      <c r="H494" s="16"/>
    </row>
    <row r="495" spans="1:8" ht="12.5">
      <c r="A495" s="16"/>
      <c r="B495" s="16"/>
      <c r="C495" s="16"/>
      <c r="D495" s="16"/>
      <c r="E495" s="16"/>
      <c r="F495" s="16"/>
      <c r="G495" s="16"/>
      <c r="H495" s="16"/>
    </row>
    <row r="496" spans="1:8" ht="12.5">
      <c r="A496" s="16"/>
      <c r="B496" s="16"/>
      <c r="C496" s="16"/>
      <c r="D496" s="16"/>
      <c r="E496" s="16"/>
      <c r="F496" s="16"/>
      <c r="G496" s="16"/>
      <c r="H496" s="16"/>
    </row>
    <row r="497" spans="1:8" ht="12.5">
      <c r="A497" s="16"/>
      <c r="B497" s="16"/>
      <c r="C497" s="16"/>
      <c r="D497" s="16"/>
      <c r="E497" s="16"/>
      <c r="F497" s="16"/>
      <c r="G497" s="16"/>
      <c r="H497" s="16"/>
    </row>
    <row r="498" spans="1:8" ht="12.5">
      <c r="A498" s="16"/>
      <c r="B498" s="16"/>
      <c r="C498" s="16"/>
      <c r="D498" s="16"/>
      <c r="E498" s="16"/>
      <c r="F498" s="16"/>
      <c r="G498" s="16"/>
      <c r="H498" s="16"/>
    </row>
    <row r="499" spans="1:8" ht="12.5">
      <c r="A499" s="16"/>
      <c r="B499" s="16"/>
      <c r="C499" s="16"/>
      <c r="D499" s="16"/>
      <c r="E499" s="16"/>
      <c r="F499" s="16"/>
      <c r="G499" s="16"/>
      <c r="H499" s="16"/>
    </row>
    <row r="500" spans="1:8" ht="12.5">
      <c r="A500" s="16"/>
      <c r="B500" s="16"/>
      <c r="C500" s="16"/>
      <c r="D500" s="16"/>
      <c r="E500" s="16"/>
      <c r="F500" s="16"/>
      <c r="G500" s="16"/>
      <c r="H500" s="16"/>
    </row>
    <row r="501" spans="1:8" ht="12.5">
      <c r="A501" s="16"/>
      <c r="B501" s="16"/>
      <c r="C501" s="16"/>
      <c r="D501" s="16"/>
      <c r="E501" s="16"/>
      <c r="F501" s="16"/>
      <c r="G501" s="16"/>
      <c r="H501" s="16"/>
    </row>
    <row r="502" spans="1:8" ht="12.5">
      <c r="A502" s="16"/>
      <c r="B502" s="16"/>
      <c r="C502" s="16"/>
      <c r="D502" s="16"/>
      <c r="E502" s="16"/>
      <c r="F502" s="16"/>
      <c r="G502" s="16"/>
      <c r="H502" s="16"/>
    </row>
    <row r="503" spans="1:8" ht="12.5">
      <c r="A503" s="16"/>
      <c r="B503" s="16"/>
      <c r="C503" s="16"/>
      <c r="D503" s="16"/>
      <c r="E503" s="16"/>
      <c r="F503" s="16"/>
      <c r="G503" s="16"/>
      <c r="H503" s="16"/>
    </row>
    <row r="504" spans="1:8" ht="12.5">
      <c r="A504" s="16"/>
      <c r="B504" s="16"/>
      <c r="C504" s="16"/>
      <c r="D504" s="16"/>
      <c r="E504" s="16"/>
      <c r="F504" s="16"/>
      <c r="G504" s="16"/>
      <c r="H504" s="16"/>
    </row>
    <row r="505" spans="1:8" ht="12.5">
      <c r="A505" s="16"/>
      <c r="B505" s="16"/>
      <c r="C505" s="16"/>
      <c r="D505" s="16"/>
      <c r="E505" s="16"/>
      <c r="F505" s="16"/>
      <c r="G505" s="16"/>
      <c r="H505" s="16"/>
    </row>
    <row r="506" spans="1:8" ht="12.5">
      <c r="A506" s="16"/>
      <c r="B506" s="16"/>
      <c r="C506" s="16"/>
      <c r="D506" s="16"/>
      <c r="E506" s="16"/>
      <c r="F506" s="16"/>
      <c r="G506" s="16"/>
      <c r="H506" s="16"/>
    </row>
    <row r="507" spans="1:8" ht="12.5">
      <c r="A507" s="16"/>
      <c r="B507" s="16"/>
      <c r="C507" s="16"/>
      <c r="D507" s="16"/>
      <c r="E507" s="16"/>
      <c r="F507" s="16"/>
      <c r="G507" s="16"/>
      <c r="H507" s="16"/>
    </row>
    <row r="508" spans="1:8" ht="12.5">
      <c r="A508" s="16"/>
      <c r="B508" s="16"/>
      <c r="C508" s="16"/>
      <c r="D508" s="16"/>
      <c r="E508" s="16"/>
      <c r="F508" s="16"/>
      <c r="G508" s="16"/>
      <c r="H508" s="16"/>
    </row>
    <row r="509" spans="1:8" ht="12.5">
      <c r="A509" s="16"/>
      <c r="B509" s="16"/>
      <c r="C509" s="16"/>
      <c r="D509" s="16"/>
      <c r="E509" s="16"/>
      <c r="F509" s="16"/>
      <c r="G509" s="16"/>
      <c r="H509" s="16"/>
    </row>
    <row r="510" spans="1:8" ht="12.5">
      <c r="A510" s="16"/>
      <c r="B510" s="16"/>
      <c r="C510" s="16"/>
      <c r="D510" s="16"/>
      <c r="E510" s="16"/>
      <c r="F510" s="16"/>
      <c r="G510" s="16"/>
      <c r="H510" s="16"/>
    </row>
    <row r="511" spans="1:8" ht="12.5">
      <c r="A511" s="16"/>
      <c r="B511" s="16"/>
      <c r="C511" s="16"/>
      <c r="D511" s="16"/>
      <c r="E511" s="16"/>
      <c r="F511" s="16"/>
      <c r="G511" s="16"/>
      <c r="H511" s="16"/>
    </row>
    <row r="512" spans="1:8" ht="12.5">
      <c r="A512" s="16"/>
      <c r="B512" s="16"/>
      <c r="C512" s="16"/>
      <c r="D512" s="16"/>
      <c r="E512" s="16"/>
      <c r="F512" s="16"/>
      <c r="G512" s="16"/>
      <c r="H512" s="16"/>
    </row>
    <row r="513" spans="1:8" ht="12.5">
      <c r="A513" s="16"/>
      <c r="B513" s="16"/>
      <c r="C513" s="16"/>
      <c r="D513" s="16"/>
      <c r="E513" s="16"/>
      <c r="F513" s="16"/>
      <c r="G513" s="16"/>
      <c r="H513" s="16"/>
    </row>
    <row r="514" spans="1:8" ht="12.5">
      <c r="A514" s="16"/>
      <c r="B514" s="16"/>
      <c r="C514" s="16"/>
      <c r="D514" s="16"/>
      <c r="E514" s="16"/>
      <c r="F514" s="16"/>
      <c r="G514" s="16"/>
      <c r="H514" s="16"/>
    </row>
    <row r="515" spans="1:8" ht="12.5">
      <c r="A515" s="16"/>
      <c r="B515" s="16"/>
      <c r="C515" s="16"/>
      <c r="D515" s="16"/>
      <c r="E515" s="16"/>
      <c r="F515" s="16"/>
      <c r="G515" s="16"/>
      <c r="H515" s="16"/>
    </row>
    <row r="516" spans="1:8" ht="12.5">
      <c r="A516" s="16"/>
      <c r="B516" s="16"/>
      <c r="C516" s="16"/>
      <c r="D516" s="16"/>
      <c r="E516" s="16"/>
      <c r="F516" s="16"/>
      <c r="G516" s="16"/>
      <c r="H516" s="16"/>
    </row>
    <row r="517" spans="1:8" ht="12.5">
      <c r="A517" s="16"/>
      <c r="B517" s="16"/>
      <c r="C517" s="16"/>
      <c r="D517" s="16"/>
      <c r="E517" s="16"/>
      <c r="F517" s="16"/>
      <c r="G517" s="16"/>
      <c r="H517" s="16"/>
    </row>
    <row r="518" spans="1:8" ht="12.5">
      <c r="A518" s="16"/>
      <c r="B518" s="16"/>
      <c r="C518" s="16"/>
      <c r="D518" s="16"/>
      <c r="E518" s="16"/>
      <c r="F518" s="16"/>
      <c r="G518" s="16"/>
      <c r="H518" s="16"/>
    </row>
    <row r="519" spans="1:8" ht="12.5">
      <c r="A519" s="16"/>
      <c r="B519" s="16"/>
      <c r="C519" s="16"/>
      <c r="D519" s="16"/>
      <c r="E519" s="16"/>
      <c r="F519" s="16"/>
      <c r="G519" s="16"/>
      <c r="H519" s="16"/>
    </row>
    <row r="520" spans="1:8" ht="12.5">
      <c r="A520" s="16"/>
      <c r="B520" s="16"/>
      <c r="C520" s="16"/>
      <c r="D520" s="16"/>
      <c r="E520" s="16"/>
      <c r="F520" s="16"/>
      <c r="G520" s="16"/>
      <c r="H520" s="16"/>
    </row>
    <row r="521" spans="1:8" ht="12.5">
      <c r="A521" s="16"/>
      <c r="B521" s="16"/>
      <c r="C521" s="16"/>
      <c r="D521" s="16"/>
      <c r="E521" s="16"/>
      <c r="F521" s="16"/>
      <c r="G521" s="16"/>
      <c r="H521" s="16"/>
    </row>
    <row r="522" spans="1:8" ht="12.5">
      <c r="A522" s="16"/>
      <c r="B522" s="16"/>
      <c r="C522" s="16"/>
      <c r="D522" s="16"/>
      <c r="E522" s="16"/>
      <c r="F522" s="16"/>
      <c r="G522" s="16"/>
      <c r="H522" s="16"/>
    </row>
    <row r="523" spans="1:8" ht="12.5">
      <c r="A523" s="16"/>
      <c r="B523" s="16"/>
      <c r="C523" s="16"/>
      <c r="D523" s="16"/>
      <c r="E523" s="16"/>
      <c r="F523" s="16"/>
      <c r="G523" s="16"/>
      <c r="H523" s="16"/>
    </row>
    <row r="524" spans="1:8" ht="12.5">
      <c r="A524" s="16"/>
      <c r="B524" s="16"/>
      <c r="C524" s="16"/>
      <c r="D524" s="16"/>
      <c r="E524" s="16"/>
      <c r="F524" s="16"/>
      <c r="G524" s="16"/>
      <c r="H524" s="16"/>
    </row>
    <row r="525" spans="1:8" ht="12.5">
      <c r="A525" s="16"/>
      <c r="B525" s="16"/>
      <c r="C525" s="16"/>
      <c r="D525" s="16"/>
      <c r="E525" s="16"/>
      <c r="F525" s="16"/>
      <c r="G525" s="16"/>
      <c r="H525" s="16"/>
    </row>
    <row r="526" spans="1:8" ht="12.5">
      <c r="A526" s="16"/>
      <c r="B526" s="16"/>
      <c r="C526" s="16"/>
      <c r="D526" s="16"/>
      <c r="E526" s="16"/>
      <c r="F526" s="16"/>
      <c r="G526" s="16"/>
      <c r="H526" s="16"/>
    </row>
    <row r="527" spans="1:8" ht="12.5">
      <c r="A527" s="16"/>
      <c r="B527" s="16"/>
      <c r="C527" s="16"/>
      <c r="D527" s="16"/>
      <c r="E527" s="16"/>
      <c r="F527" s="16"/>
      <c r="G527" s="16"/>
      <c r="H527" s="16"/>
    </row>
    <row r="528" spans="1:8" ht="12.5">
      <c r="A528" s="16"/>
      <c r="B528" s="16"/>
      <c r="C528" s="16"/>
      <c r="D528" s="16"/>
      <c r="E528" s="16"/>
      <c r="F528" s="16"/>
      <c r="G528" s="16"/>
      <c r="H528" s="16"/>
    </row>
    <row r="529" spans="1:8" ht="12.5">
      <c r="A529" s="16"/>
      <c r="B529" s="16"/>
      <c r="C529" s="16"/>
      <c r="D529" s="16"/>
      <c r="E529" s="16"/>
      <c r="F529" s="16"/>
      <c r="G529" s="16"/>
      <c r="H529" s="16"/>
    </row>
    <row r="530" spans="1:8" ht="12.5">
      <c r="A530" s="16"/>
      <c r="B530" s="16"/>
      <c r="C530" s="16"/>
      <c r="D530" s="16"/>
      <c r="E530" s="16"/>
      <c r="F530" s="16"/>
      <c r="G530" s="16"/>
      <c r="H530" s="16"/>
    </row>
    <row r="531" spans="1:8" ht="12.5">
      <c r="A531" s="16"/>
      <c r="B531" s="16"/>
      <c r="C531" s="16"/>
      <c r="D531" s="16"/>
      <c r="E531" s="16"/>
      <c r="F531" s="16"/>
      <c r="G531" s="16"/>
      <c r="H531" s="16"/>
    </row>
    <row r="532" spans="1:8" ht="12.5">
      <c r="A532" s="16"/>
      <c r="B532" s="16"/>
      <c r="C532" s="16"/>
      <c r="D532" s="16"/>
      <c r="E532" s="16"/>
      <c r="F532" s="16"/>
      <c r="G532" s="16"/>
      <c r="H532" s="16"/>
    </row>
    <row r="533" spans="1:8" ht="12.5">
      <c r="A533" s="16"/>
      <c r="B533" s="16"/>
      <c r="C533" s="16"/>
      <c r="D533" s="16"/>
      <c r="E533" s="16"/>
      <c r="F533" s="16"/>
      <c r="G533" s="16"/>
      <c r="H533" s="16"/>
    </row>
    <row r="534" spans="1:8" ht="12.5">
      <c r="A534" s="16"/>
      <c r="B534" s="16"/>
      <c r="C534" s="16"/>
      <c r="D534" s="16"/>
      <c r="E534" s="16"/>
      <c r="F534" s="16"/>
      <c r="G534" s="16"/>
      <c r="H534" s="16"/>
    </row>
    <row r="535" spans="1:8" ht="12.5">
      <c r="A535" s="16"/>
      <c r="B535" s="16"/>
      <c r="C535" s="16"/>
      <c r="D535" s="16"/>
      <c r="E535" s="16"/>
      <c r="F535" s="16"/>
      <c r="G535" s="16"/>
      <c r="H535" s="16"/>
    </row>
    <row r="536" spans="1:8" ht="12.5">
      <c r="A536" s="16"/>
      <c r="B536" s="16"/>
      <c r="C536" s="16"/>
      <c r="D536" s="16"/>
      <c r="E536" s="16"/>
      <c r="F536" s="16"/>
      <c r="G536" s="16"/>
      <c r="H536" s="16"/>
    </row>
    <row r="537" spans="1:8" ht="12.5">
      <c r="A537" s="16"/>
      <c r="B537" s="16"/>
      <c r="C537" s="16"/>
      <c r="D537" s="16"/>
      <c r="E537" s="16"/>
      <c r="F537" s="16"/>
      <c r="G537" s="16"/>
      <c r="H537" s="16"/>
    </row>
    <row r="538" spans="1:8" ht="12.5">
      <c r="A538" s="16"/>
      <c r="B538" s="16"/>
      <c r="C538" s="16"/>
      <c r="D538" s="16"/>
      <c r="E538" s="16"/>
      <c r="F538" s="16"/>
      <c r="G538" s="16"/>
      <c r="H538" s="16"/>
    </row>
    <row r="539" spans="1:8" ht="12.5">
      <c r="A539" s="16"/>
      <c r="B539" s="16"/>
      <c r="C539" s="16"/>
      <c r="D539" s="16"/>
      <c r="E539" s="16"/>
      <c r="F539" s="16"/>
      <c r="G539" s="16"/>
      <c r="H539" s="16"/>
    </row>
    <row r="540" spans="1:8" ht="12.5">
      <c r="A540" s="16"/>
      <c r="B540" s="16"/>
      <c r="C540" s="16"/>
      <c r="D540" s="16"/>
      <c r="E540" s="16"/>
      <c r="F540" s="16"/>
      <c r="G540" s="16"/>
      <c r="H540" s="16"/>
    </row>
    <row r="541" spans="1:8" ht="12.5">
      <c r="A541" s="16"/>
      <c r="B541" s="16"/>
      <c r="C541" s="16"/>
      <c r="D541" s="16"/>
      <c r="E541" s="16"/>
      <c r="F541" s="16"/>
      <c r="G541" s="16"/>
      <c r="H541" s="16"/>
    </row>
    <row r="542" spans="1:8" ht="12.5">
      <c r="A542" s="16"/>
      <c r="B542" s="16"/>
      <c r="C542" s="16"/>
      <c r="D542" s="16"/>
      <c r="E542" s="16"/>
      <c r="F542" s="16"/>
      <c r="G542" s="16"/>
      <c r="H542" s="16"/>
    </row>
    <row r="543" spans="1:8" ht="12.5">
      <c r="A543" s="16"/>
      <c r="B543" s="16"/>
      <c r="C543" s="16"/>
      <c r="D543" s="16"/>
      <c r="E543" s="16"/>
      <c r="F543" s="16"/>
      <c r="G543" s="16"/>
      <c r="H543" s="16"/>
    </row>
    <row r="544" spans="1:8" ht="12.5">
      <c r="A544" s="16"/>
      <c r="B544" s="16"/>
      <c r="C544" s="16"/>
      <c r="D544" s="16"/>
      <c r="E544" s="16"/>
      <c r="F544" s="16"/>
      <c r="G544" s="16"/>
      <c r="H544" s="16"/>
    </row>
    <row r="545" spans="1:8" ht="12.5">
      <c r="A545" s="16"/>
      <c r="B545" s="16"/>
      <c r="C545" s="16"/>
      <c r="D545" s="16"/>
      <c r="E545" s="16"/>
      <c r="F545" s="16"/>
      <c r="G545" s="16"/>
      <c r="H545" s="16"/>
    </row>
    <row r="546" spans="1:8" ht="12.5">
      <c r="A546" s="16"/>
      <c r="B546" s="16"/>
      <c r="C546" s="16"/>
      <c r="D546" s="16"/>
      <c r="E546" s="16"/>
      <c r="F546" s="16"/>
      <c r="G546" s="16"/>
      <c r="H546" s="16"/>
    </row>
    <row r="547" spans="1:8" ht="12.5">
      <c r="A547" s="16"/>
      <c r="B547" s="16"/>
      <c r="C547" s="16"/>
      <c r="D547" s="16"/>
      <c r="E547" s="16"/>
      <c r="F547" s="16"/>
      <c r="G547" s="16"/>
      <c r="H547" s="16"/>
    </row>
    <row r="548" spans="1:8" ht="12.5">
      <c r="A548" s="16"/>
      <c r="B548" s="16"/>
      <c r="C548" s="16"/>
      <c r="D548" s="16"/>
      <c r="E548" s="16"/>
      <c r="F548" s="16"/>
      <c r="G548" s="16"/>
      <c r="H548" s="16"/>
    </row>
    <row r="549" spans="1:8" ht="12.5">
      <c r="A549" s="16"/>
      <c r="B549" s="16"/>
      <c r="C549" s="16"/>
      <c r="D549" s="16"/>
      <c r="E549" s="16"/>
      <c r="F549" s="16"/>
      <c r="G549" s="16"/>
      <c r="H549" s="16"/>
    </row>
    <row r="550" spans="1:8" ht="12.5">
      <c r="A550" s="16"/>
      <c r="B550" s="16"/>
      <c r="C550" s="16"/>
      <c r="D550" s="16"/>
      <c r="E550" s="16"/>
      <c r="F550" s="16"/>
      <c r="G550" s="16"/>
      <c r="H550" s="16"/>
    </row>
    <row r="551" spans="1:8" ht="12.5">
      <c r="A551" s="16"/>
      <c r="B551" s="16"/>
      <c r="C551" s="16"/>
      <c r="D551" s="16"/>
      <c r="E551" s="16"/>
      <c r="F551" s="16"/>
      <c r="G551" s="16"/>
      <c r="H551" s="16"/>
    </row>
    <row r="552" spans="1:8" ht="12.5">
      <c r="A552" s="16"/>
      <c r="B552" s="16"/>
      <c r="C552" s="16"/>
      <c r="D552" s="16"/>
      <c r="E552" s="16"/>
      <c r="F552" s="16"/>
      <c r="G552" s="16"/>
      <c r="H552" s="16"/>
    </row>
    <row r="553" spans="1:8" ht="12.5">
      <c r="A553" s="16"/>
      <c r="B553" s="16"/>
      <c r="C553" s="16"/>
      <c r="D553" s="16"/>
      <c r="E553" s="16"/>
      <c r="F553" s="16"/>
      <c r="G553" s="16"/>
      <c r="H553" s="16"/>
    </row>
    <row r="554" spans="1:8" ht="12.5">
      <c r="A554" s="16"/>
      <c r="B554" s="16"/>
      <c r="C554" s="16"/>
      <c r="D554" s="16"/>
      <c r="E554" s="16"/>
      <c r="F554" s="16"/>
      <c r="G554" s="16"/>
      <c r="H554" s="16"/>
    </row>
    <row r="555" spans="1:8" ht="12.5">
      <c r="A555" s="16"/>
      <c r="B555" s="16"/>
      <c r="C555" s="16"/>
      <c r="D555" s="16"/>
      <c r="E555" s="16"/>
      <c r="F555" s="16"/>
      <c r="G555" s="16"/>
      <c r="H555" s="16"/>
    </row>
    <row r="556" spans="1:8" ht="12.5">
      <c r="A556" s="16"/>
      <c r="B556" s="16"/>
      <c r="C556" s="16"/>
      <c r="D556" s="16"/>
      <c r="E556" s="16"/>
      <c r="F556" s="16"/>
      <c r="G556" s="16"/>
      <c r="H556" s="16"/>
    </row>
    <row r="557" spans="1:8" ht="12.5">
      <c r="A557" s="16"/>
      <c r="B557" s="16"/>
      <c r="C557" s="16"/>
      <c r="D557" s="16"/>
      <c r="E557" s="16"/>
      <c r="F557" s="16"/>
      <c r="G557" s="16"/>
      <c r="H557" s="16"/>
    </row>
    <row r="558" spans="1:8" ht="12.5">
      <c r="A558" s="16"/>
      <c r="B558" s="16"/>
      <c r="C558" s="16"/>
      <c r="D558" s="16"/>
      <c r="E558" s="16"/>
      <c r="F558" s="16"/>
      <c r="G558" s="16"/>
      <c r="H558" s="16"/>
    </row>
    <row r="559" spans="1:8" ht="12.5">
      <c r="A559" s="16"/>
      <c r="B559" s="16"/>
      <c r="C559" s="16"/>
      <c r="D559" s="16"/>
      <c r="E559" s="16"/>
      <c r="F559" s="16"/>
      <c r="G559" s="16"/>
      <c r="H559" s="16"/>
    </row>
    <row r="560" spans="1:8" ht="12.5">
      <c r="A560" s="16"/>
      <c r="B560" s="16"/>
      <c r="C560" s="16"/>
      <c r="D560" s="16"/>
      <c r="E560" s="16"/>
      <c r="F560" s="16"/>
      <c r="G560" s="16"/>
      <c r="H560" s="16"/>
    </row>
    <row r="561" spans="1:8" ht="12.5">
      <c r="A561" s="16"/>
      <c r="B561" s="16"/>
      <c r="C561" s="16"/>
      <c r="D561" s="16"/>
      <c r="E561" s="16"/>
      <c r="F561" s="16"/>
      <c r="G561" s="16"/>
      <c r="H561" s="16"/>
    </row>
    <row r="562" spans="1:8" ht="12.5">
      <c r="A562" s="16"/>
      <c r="B562" s="16"/>
      <c r="C562" s="16"/>
      <c r="D562" s="16"/>
      <c r="E562" s="16"/>
      <c r="F562" s="16"/>
      <c r="G562" s="16"/>
      <c r="H562" s="16"/>
    </row>
    <row r="563" spans="1:8" ht="12.5">
      <c r="A563" s="16"/>
      <c r="B563" s="16"/>
      <c r="C563" s="16"/>
      <c r="D563" s="16"/>
      <c r="E563" s="16"/>
      <c r="F563" s="16"/>
      <c r="G563" s="16"/>
      <c r="H563" s="16"/>
    </row>
    <row r="564" spans="1:8" ht="12.5">
      <c r="A564" s="16"/>
      <c r="B564" s="16"/>
      <c r="C564" s="16"/>
      <c r="D564" s="16"/>
      <c r="E564" s="16"/>
      <c r="F564" s="16"/>
      <c r="G564" s="16"/>
      <c r="H564" s="16"/>
    </row>
    <row r="565" spans="1:8" ht="12.5">
      <c r="A565" s="16"/>
      <c r="B565" s="16"/>
      <c r="C565" s="16"/>
      <c r="D565" s="16"/>
      <c r="E565" s="16"/>
      <c r="F565" s="16"/>
      <c r="G565" s="16"/>
      <c r="H565" s="16"/>
    </row>
    <row r="566" spans="1:8" ht="12.5">
      <c r="A566" s="16"/>
      <c r="B566" s="16"/>
      <c r="C566" s="16"/>
      <c r="D566" s="16"/>
      <c r="E566" s="16"/>
      <c r="F566" s="16"/>
      <c r="G566" s="16"/>
      <c r="H566" s="16"/>
    </row>
    <row r="567" spans="1:8" ht="12.5">
      <c r="A567" s="16"/>
      <c r="B567" s="16"/>
      <c r="C567" s="16"/>
      <c r="D567" s="16"/>
      <c r="E567" s="16"/>
      <c r="F567" s="16"/>
      <c r="G567" s="16"/>
      <c r="H567" s="16"/>
    </row>
    <row r="568" spans="1:8" ht="12.5">
      <c r="A568" s="16"/>
      <c r="B568" s="16"/>
      <c r="C568" s="16"/>
      <c r="D568" s="16"/>
      <c r="E568" s="16"/>
      <c r="F568" s="16"/>
      <c r="G568" s="16"/>
      <c r="H568" s="16"/>
    </row>
    <row r="569" spans="1:8" ht="12.5">
      <c r="A569" s="16"/>
      <c r="B569" s="16"/>
      <c r="C569" s="16"/>
      <c r="D569" s="16"/>
      <c r="E569" s="16"/>
      <c r="F569" s="16"/>
      <c r="G569" s="16"/>
      <c r="H569" s="16"/>
    </row>
    <row r="570" spans="1:8" ht="12.5">
      <c r="A570" s="16"/>
      <c r="B570" s="16"/>
      <c r="C570" s="16"/>
      <c r="D570" s="16"/>
      <c r="E570" s="16"/>
      <c r="F570" s="16"/>
      <c r="G570" s="16"/>
      <c r="H570" s="16"/>
    </row>
    <row r="571" spans="1:8" ht="12.5">
      <c r="A571" s="16"/>
      <c r="B571" s="16"/>
      <c r="C571" s="16"/>
      <c r="D571" s="16"/>
      <c r="E571" s="16"/>
      <c r="F571" s="16"/>
      <c r="G571" s="16"/>
      <c r="H571" s="16"/>
    </row>
    <row r="572" spans="1:8" ht="12.5">
      <c r="A572" s="16"/>
      <c r="B572" s="16"/>
      <c r="C572" s="16"/>
      <c r="D572" s="16"/>
      <c r="E572" s="16"/>
      <c r="F572" s="16"/>
      <c r="G572" s="16"/>
      <c r="H572" s="16"/>
    </row>
    <row r="573" spans="1:8" ht="12.5">
      <c r="A573" s="16"/>
      <c r="B573" s="16"/>
      <c r="C573" s="16"/>
      <c r="D573" s="16"/>
      <c r="E573" s="16"/>
      <c r="F573" s="16"/>
      <c r="G573" s="16"/>
      <c r="H573" s="16"/>
    </row>
    <row r="574" spans="1:8" ht="12.5">
      <c r="A574" s="16"/>
      <c r="B574" s="16"/>
      <c r="C574" s="16"/>
      <c r="D574" s="16"/>
      <c r="E574" s="16"/>
      <c r="F574" s="16"/>
      <c r="G574" s="16"/>
      <c r="H574" s="16"/>
    </row>
    <row r="575" spans="1:8" ht="12.5">
      <c r="A575" s="16"/>
      <c r="B575" s="16"/>
      <c r="C575" s="16"/>
      <c r="D575" s="16"/>
      <c r="E575" s="16"/>
      <c r="F575" s="16"/>
      <c r="G575" s="16"/>
      <c r="H575" s="16"/>
    </row>
    <row r="576" spans="1:8" ht="12.5">
      <c r="A576" s="16"/>
      <c r="B576" s="16"/>
      <c r="C576" s="16"/>
      <c r="D576" s="16"/>
      <c r="E576" s="16"/>
      <c r="F576" s="16"/>
      <c r="G576" s="16"/>
      <c r="H576" s="16"/>
    </row>
    <row r="577" spans="1:8" ht="12.5">
      <c r="A577" s="16"/>
      <c r="B577" s="16"/>
      <c r="C577" s="16"/>
      <c r="D577" s="16"/>
      <c r="E577" s="16"/>
      <c r="F577" s="16"/>
      <c r="G577" s="16"/>
      <c r="H577" s="16"/>
    </row>
    <row r="578" spans="1:8" ht="12.5">
      <c r="A578" s="16"/>
      <c r="B578" s="16"/>
      <c r="C578" s="16"/>
      <c r="D578" s="16"/>
      <c r="E578" s="16"/>
      <c r="F578" s="16"/>
      <c r="G578" s="16"/>
      <c r="H578" s="16"/>
    </row>
    <row r="579" spans="1:8" ht="12.5">
      <c r="A579" s="16"/>
      <c r="B579" s="16"/>
      <c r="C579" s="16"/>
      <c r="D579" s="16"/>
      <c r="E579" s="16"/>
      <c r="F579" s="16"/>
      <c r="G579" s="16"/>
      <c r="H579" s="16"/>
    </row>
    <row r="580" spans="1:8" ht="12.5">
      <c r="A580" s="16"/>
      <c r="B580" s="16"/>
      <c r="C580" s="16"/>
      <c r="D580" s="16"/>
      <c r="E580" s="16"/>
      <c r="F580" s="16"/>
      <c r="G580" s="16"/>
      <c r="H580" s="16"/>
    </row>
    <row r="581" spans="1:8" ht="12.5">
      <c r="A581" s="16"/>
      <c r="B581" s="16"/>
      <c r="C581" s="16"/>
      <c r="D581" s="16"/>
      <c r="E581" s="16"/>
      <c r="F581" s="16"/>
      <c r="G581" s="16"/>
      <c r="H581" s="16"/>
    </row>
    <row r="582" spans="1:8" ht="12.5">
      <c r="A582" s="16"/>
      <c r="B582" s="16"/>
      <c r="C582" s="16"/>
      <c r="D582" s="16"/>
      <c r="E582" s="16"/>
      <c r="F582" s="16"/>
      <c r="G582" s="16"/>
      <c r="H582" s="16"/>
    </row>
    <row r="583" spans="1:8" ht="12.5">
      <c r="A583" s="16"/>
      <c r="B583" s="16"/>
      <c r="C583" s="16"/>
      <c r="D583" s="16"/>
      <c r="E583" s="16"/>
      <c r="F583" s="16"/>
      <c r="G583" s="16"/>
      <c r="H583" s="16"/>
    </row>
    <row r="584" spans="1:8" ht="12.5">
      <c r="A584" s="16"/>
      <c r="B584" s="16"/>
      <c r="C584" s="16"/>
      <c r="D584" s="16"/>
      <c r="E584" s="16"/>
      <c r="F584" s="16"/>
      <c r="G584" s="16"/>
      <c r="H584" s="16"/>
    </row>
    <row r="585" spans="1:8" ht="12.5">
      <c r="A585" s="16"/>
      <c r="B585" s="16"/>
      <c r="C585" s="16"/>
      <c r="D585" s="16"/>
      <c r="E585" s="16"/>
      <c r="F585" s="16"/>
      <c r="G585" s="16"/>
      <c r="H585" s="16"/>
    </row>
    <row r="586" spans="1:8" ht="12.5">
      <c r="A586" s="16"/>
      <c r="B586" s="16"/>
      <c r="C586" s="16"/>
      <c r="D586" s="16"/>
      <c r="E586" s="16"/>
      <c r="F586" s="16"/>
      <c r="G586" s="16"/>
      <c r="H586" s="16"/>
    </row>
    <row r="587" spans="1:8" ht="12.5">
      <c r="A587" s="16"/>
      <c r="B587" s="16"/>
      <c r="C587" s="16"/>
      <c r="D587" s="16"/>
      <c r="E587" s="16"/>
      <c r="F587" s="16"/>
      <c r="G587" s="16"/>
      <c r="H587" s="16"/>
    </row>
    <row r="588" spans="1:8" ht="12.5">
      <c r="A588" s="16"/>
      <c r="B588" s="16"/>
      <c r="C588" s="16"/>
      <c r="D588" s="16"/>
      <c r="E588" s="16"/>
      <c r="F588" s="16"/>
      <c r="G588" s="16"/>
      <c r="H588" s="16"/>
    </row>
    <row r="589" spans="1:8" ht="12.5">
      <c r="A589" s="16"/>
      <c r="B589" s="16"/>
      <c r="C589" s="16"/>
      <c r="D589" s="16"/>
      <c r="E589" s="16"/>
      <c r="F589" s="16"/>
      <c r="G589" s="16"/>
      <c r="H589" s="16"/>
    </row>
    <row r="590" spans="1:8" ht="12.5">
      <c r="A590" s="16"/>
      <c r="B590" s="16"/>
      <c r="C590" s="16"/>
      <c r="D590" s="16"/>
      <c r="E590" s="16"/>
      <c r="F590" s="16"/>
      <c r="G590" s="16"/>
      <c r="H590" s="16"/>
    </row>
    <row r="591" spans="1:8" ht="12.5">
      <c r="A591" s="16"/>
      <c r="B591" s="16"/>
      <c r="C591" s="16"/>
      <c r="D591" s="16"/>
      <c r="E591" s="16"/>
      <c r="F591" s="16"/>
      <c r="G591" s="16"/>
      <c r="H591" s="16"/>
    </row>
    <row r="592" spans="1:8" ht="12.5">
      <c r="A592" s="16"/>
      <c r="B592" s="16"/>
      <c r="C592" s="16"/>
      <c r="D592" s="16"/>
      <c r="E592" s="16"/>
      <c r="F592" s="16"/>
      <c r="G592" s="16"/>
      <c r="H592" s="16"/>
    </row>
    <row r="593" spans="1:8" ht="12.5">
      <c r="A593" s="16"/>
      <c r="B593" s="16"/>
      <c r="C593" s="16"/>
      <c r="D593" s="16"/>
      <c r="E593" s="16"/>
      <c r="F593" s="16"/>
      <c r="G593" s="16"/>
      <c r="H593" s="16"/>
    </row>
    <row r="594" spans="1:8" ht="12.5">
      <c r="A594" s="16"/>
      <c r="B594" s="16"/>
      <c r="C594" s="16"/>
      <c r="D594" s="16"/>
      <c r="E594" s="16"/>
      <c r="F594" s="16"/>
      <c r="G594" s="16"/>
      <c r="H594" s="16"/>
    </row>
    <row r="595" spans="1:8" ht="12.5">
      <c r="A595" s="16"/>
      <c r="B595" s="16"/>
      <c r="C595" s="16"/>
      <c r="D595" s="16"/>
      <c r="E595" s="16"/>
      <c r="F595" s="16"/>
      <c r="G595" s="16"/>
      <c r="H595" s="16"/>
    </row>
    <row r="596" spans="1:8" ht="12.5">
      <c r="A596" s="16"/>
      <c r="B596" s="16"/>
      <c r="C596" s="16"/>
      <c r="D596" s="16"/>
      <c r="E596" s="16"/>
      <c r="F596" s="16"/>
      <c r="G596" s="16"/>
      <c r="H596" s="16"/>
    </row>
    <row r="597" spans="1:8" ht="12.5">
      <c r="A597" s="16"/>
      <c r="B597" s="16"/>
      <c r="C597" s="16"/>
      <c r="D597" s="16"/>
      <c r="E597" s="16"/>
      <c r="F597" s="16"/>
      <c r="G597" s="16"/>
      <c r="H597" s="16"/>
    </row>
    <row r="598" spans="1:8" ht="12.5">
      <c r="A598" s="16"/>
      <c r="B598" s="16"/>
      <c r="C598" s="16"/>
      <c r="D598" s="16"/>
      <c r="E598" s="16"/>
      <c r="F598" s="16"/>
      <c r="G598" s="16"/>
      <c r="H598" s="16"/>
    </row>
    <row r="599" spans="1:8" ht="12.5">
      <c r="A599" s="16"/>
      <c r="B599" s="16"/>
      <c r="C599" s="16"/>
      <c r="D599" s="16"/>
      <c r="E599" s="16"/>
      <c r="F599" s="16"/>
      <c r="G599" s="16"/>
      <c r="H599" s="16"/>
    </row>
    <row r="600" spans="1:8" ht="12.5">
      <c r="A600" s="16"/>
      <c r="B600" s="16"/>
      <c r="C600" s="16"/>
      <c r="D600" s="16"/>
      <c r="E600" s="16"/>
      <c r="F600" s="16"/>
      <c r="G600" s="16"/>
      <c r="H600" s="16"/>
    </row>
    <row r="601" spans="1:8" ht="12.5">
      <c r="A601" s="16"/>
      <c r="B601" s="16"/>
      <c r="C601" s="16"/>
      <c r="D601" s="16"/>
      <c r="E601" s="16"/>
      <c r="F601" s="16"/>
      <c r="G601" s="16"/>
      <c r="H601" s="16"/>
    </row>
    <row r="602" spans="1:8" ht="12.5">
      <c r="A602" s="16"/>
      <c r="B602" s="16"/>
      <c r="C602" s="16"/>
      <c r="D602" s="16"/>
      <c r="E602" s="16"/>
      <c r="F602" s="16"/>
      <c r="G602" s="16"/>
      <c r="H602" s="16"/>
    </row>
    <row r="603" spans="1:8" ht="12.5">
      <c r="A603" s="16"/>
      <c r="B603" s="16"/>
      <c r="C603" s="16"/>
      <c r="D603" s="16"/>
      <c r="E603" s="16"/>
      <c r="F603" s="16"/>
      <c r="G603" s="16"/>
      <c r="H603" s="16"/>
    </row>
    <row r="604" spans="1:8" ht="12.5">
      <c r="A604" s="16"/>
      <c r="B604" s="16"/>
      <c r="C604" s="16"/>
      <c r="D604" s="16"/>
      <c r="E604" s="16"/>
      <c r="F604" s="16"/>
      <c r="G604" s="16"/>
      <c r="H604" s="16"/>
    </row>
    <row r="605" spans="1:8" ht="12.5">
      <c r="A605" s="16"/>
      <c r="B605" s="16"/>
      <c r="C605" s="16"/>
      <c r="D605" s="16"/>
      <c r="E605" s="16"/>
      <c r="F605" s="16"/>
      <c r="G605" s="16"/>
      <c r="H605" s="16"/>
    </row>
    <row r="606" spans="1:8" ht="12.5">
      <c r="A606" s="16"/>
      <c r="B606" s="16"/>
      <c r="C606" s="16"/>
      <c r="D606" s="16"/>
      <c r="E606" s="16"/>
      <c r="F606" s="16"/>
      <c r="G606" s="16"/>
      <c r="H606" s="16"/>
    </row>
    <row r="607" spans="1:8" ht="12.5">
      <c r="A607" s="16"/>
      <c r="B607" s="16"/>
      <c r="C607" s="16"/>
      <c r="D607" s="16"/>
      <c r="E607" s="16"/>
      <c r="F607" s="16"/>
      <c r="G607" s="16"/>
      <c r="H607" s="16"/>
    </row>
    <row r="608" spans="1:8" ht="12.5">
      <c r="A608" s="16"/>
      <c r="B608" s="16"/>
      <c r="C608" s="16"/>
      <c r="D608" s="16"/>
      <c r="E608" s="16"/>
      <c r="F608" s="16"/>
      <c r="G608" s="16"/>
      <c r="H608" s="16"/>
    </row>
    <row r="609" spans="1:8" ht="12.5">
      <c r="A609" s="16"/>
      <c r="B609" s="16"/>
      <c r="C609" s="16"/>
      <c r="D609" s="16"/>
      <c r="E609" s="16"/>
      <c r="F609" s="16"/>
      <c r="G609" s="16"/>
      <c r="H609" s="16"/>
    </row>
    <row r="610" spans="1:8" ht="12.5">
      <c r="A610" s="16"/>
      <c r="B610" s="16"/>
      <c r="C610" s="16"/>
      <c r="D610" s="16"/>
      <c r="E610" s="16"/>
      <c r="F610" s="16"/>
      <c r="G610" s="16"/>
      <c r="H610" s="16"/>
    </row>
    <row r="611" spans="1:8" ht="12.5">
      <c r="A611" s="16"/>
      <c r="B611" s="16"/>
      <c r="C611" s="16"/>
      <c r="D611" s="16"/>
      <c r="E611" s="16"/>
      <c r="F611" s="16"/>
      <c r="G611" s="16"/>
      <c r="H611" s="16"/>
    </row>
    <row r="612" spans="1:8" ht="12.5">
      <c r="A612" s="16"/>
      <c r="B612" s="16"/>
      <c r="C612" s="16"/>
      <c r="D612" s="16"/>
      <c r="E612" s="16"/>
      <c r="F612" s="16"/>
      <c r="G612" s="16"/>
      <c r="H612" s="16"/>
    </row>
    <row r="613" spans="1:8" ht="12.5">
      <c r="A613" s="16"/>
      <c r="B613" s="16"/>
      <c r="C613" s="16"/>
      <c r="D613" s="16"/>
      <c r="E613" s="16"/>
      <c r="F613" s="16"/>
      <c r="G613" s="16"/>
      <c r="H613" s="16"/>
    </row>
    <row r="614" spans="1:8" ht="12.5">
      <c r="A614" s="16"/>
      <c r="B614" s="16"/>
      <c r="C614" s="16"/>
      <c r="D614" s="16"/>
      <c r="E614" s="16"/>
      <c r="F614" s="16"/>
      <c r="G614" s="16"/>
      <c r="H614" s="16"/>
    </row>
    <row r="615" spans="1:8" ht="12.5">
      <c r="A615" s="16"/>
      <c r="B615" s="16"/>
      <c r="C615" s="16"/>
      <c r="D615" s="16"/>
      <c r="E615" s="16"/>
      <c r="F615" s="16"/>
      <c r="G615" s="16"/>
      <c r="H615" s="16"/>
    </row>
    <row r="616" spans="1:8" ht="12.5">
      <c r="A616" s="16"/>
      <c r="B616" s="16"/>
      <c r="C616" s="16"/>
      <c r="D616" s="16"/>
      <c r="E616" s="16"/>
      <c r="F616" s="16"/>
      <c r="G616" s="16"/>
      <c r="H616" s="16"/>
    </row>
    <row r="617" spans="1:8" ht="12.5">
      <c r="A617" s="16"/>
      <c r="B617" s="16"/>
      <c r="C617" s="16"/>
      <c r="D617" s="16"/>
      <c r="E617" s="16"/>
      <c r="F617" s="16"/>
      <c r="G617" s="16"/>
      <c r="H617" s="16"/>
    </row>
    <row r="618" spans="1:8" ht="12.5">
      <c r="A618" s="16"/>
      <c r="B618" s="16"/>
      <c r="C618" s="16"/>
      <c r="D618" s="16"/>
      <c r="E618" s="16"/>
      <c r="F618" s="16"/>
      <c r="G618" s="16"/>
      <c r="H618" s="16"/>
    </row>
    <row r="619" spans="1:8" ht="12.5">
      <c r="A619" s="16"/>
      <c r="B619" s="16"/>
      <c r="C619" s="16"/>
      <c r="D619" s="16"/>
      <c r="E619" s="16"/>
      <c r="F619" s="16"/>
      <c r="G619" s="16"/>
      <c r="H619" s="16"/>
    </row>
    <row r="620" spans="1:8" ht="12.5">
      <c r="A620" s="16"/>
      <c r="B620" s="16"/>
      <c r="C620" s="16"/>
      <c r="D620" s="16"/>
      <c r="E620" s="16"/>
      <c r="F620" s="16"/>
      <c r="G620" s="16"/>
      <c r="H620" s="16"/>
    </row>
    <row r="621" spans="1:8" ht="12.5">
      <c r="A621" s="16"/>
      <c r="B621" s="16"/>
      <c r="C621" s="16"/>
      <c r="D621" s="16"/>
      <c r="E621" s="16"/>
      <c r="F621" s="16"/>
      <c r="G621" s="16"/>
      <c r="H621" s="16"/>
    </row>
    <row r="622" spans="1:8" ht="12.5">
      <c r="A622" s="16"/>
      <c r="B622" s="16"/>
      <c r="C622" s="16"/>
      <c r="D622" s="16"/>
      <c r="E622" s="16"/>
      <c r="F622" s="16"/>
      <c r="G622" s="16"/>
      <c r="H622" s="16"/>
    </row>
    <row r="623" spans="1:8" ht="12.5">
      <c r="A623" s="16"/>
      <c r="B623" s="16"/>
      <c r="C623" s="16"/>
      <c r="D623" s="16"/>
      <c r="E623" s="16"/>
      <c r="F623" s="16"/>
      <c r="G623" s="16"/>
      <c r="H623" s="16"/>
    </row>
    <row r="624" spans="1:8" ht="12.5">
      <c r="A624" s="16"/>
      <c r="B624" s="16"/>
      <c r="C624" s="16"/>
      <c r="D624" s="16"/>
      <c r="E624" s="16"/>
      <c r="F624" s="16"/>
      <c r="G624" s="16"/>
      <c r="H624" s="16"/>
    </row>
    <row r="625" spans="1:8" ht="12.5">
      <c r="A625" s="16"/>
      <c r="B625" s="16"/>
      <c r="C625" s="16"/>
      <c r="D625" s="16"/>
      <c r="E625" s="16"/>
      <c r="F625" s="16"/>
      <c r="G625" s="16"/>
      <c r="H625" s="16"/>
    </row>
    <row r="626" spans="1:8" ht="12.5">
      <c r="A626" s="16"/>
      <c r="B626" s="16"/>
      <c r="C626" s="16"/>
      <c r="D626" s="16"/>
      <c r="E626" s="16"/>
      <c r="F626" s="16"/>
      <c r="G626" s="16"/>
      <c r="H626" s="16"/>
    </row>
    <row r="627" spans="1:8" ht="12.5">
      <c r="A627" s="16"/>
      <c r="B627" s="16"/>
      <c r="C627" s="16"/>
      <c r="D627" s="16"/>
      <c r="E627" s="16"/>
      <c r="F627" s="16"/>
      <c r="G627" s="16"/>
      <c r="H627" s="16"/>
    </row>
    <row r="628" spans="1:8" ht="12.5">
      <c r="A628" s="16"/>
      <c r="B628" s="16"/>
      <c r="C628" s="16"/>
      <c r="D628" s="16"/>
      <c r="E628" s="16"/>
      <c r="F628" s="16"/>
      <c r="G628" s="16"/>
      <c r="H628" s="16"/>
    </row>
    <row r="629" spans="1:8" ht="12.5">
      <c r="A629" s="16"/>
      <c r="B629" s="16"/>
      <c r="C629" s="16"/>
      <c r="D629" s="16"/>
      <c r="E629" s="16"/>
      <c r="F629" s="16"/>
      <c r="G629" s="16"/>
      <c r="H629" s="16"/>
    </row>
    <row r="630" spans="1:8" ht="12.5">
      <c r="A630" s="16"/>
      <c r="B630" s="16"/>
      <c r="C630" s="16"/>
      <c r="D630" s="16"/>
      <c r="E630" s="16"/>
      <c r="F630" s="16"/>
      <c r="G630" s="16"/>
      <c r="H630" s="16"/>
    </row>
    <row r="631" spans="1:8" ht="12.5">
      <c r="A631" s="16"/>
      <c r="B631" s="16"/>
      <c r="C631" s="16"/>
      <c r="D631" s="16"/>
      <c r="E631" s="16"/>
      <c r="F631" s="16"/>
      <c r="G631" s="16"/>
      <c r="H631" s="16"/>
    </row>
    <row r="632" spans="1:8" ht="12.5">
      <c r="A632" s="16"/>
      <c r="B632" s="16"/>
      <c r="C632" s="16"/>
      <c r="D632" s="16"/>
      <c r="E632" s="16"/>
      <c r="F632" s="16"/>
      <c r="G632" s="16"/>
      <c r="H632" s="16"/>
    </row>
    <row r="633" spans="1:8" ht="12.5">
      <c r="A633" s="16"/>
      <c r="B633" s="16"/>
      <c r="C633" s="16"/>
      <c r="D633" s="16"/>
      <c r="E633" s="16"/>
      <c r="F633" s="16"/>
      <c r="G633" s="16"/>
      <c r="H633" s="16"/>
    </row>
    <row r="634" spans="1:8" ht="12.5">
      <c r="A634" s="16"/>
      <c r="B634" s="16"/>
      <c r="C634" s="16"/>
      <c r="D634" s="16"/>
      <c r="E634" s="16"/>
      <c r="F634" s="16"/>
      <c r="G634" s="16"/>
      <c r="H634" s="16"/>
    </row>
    <row r="635" spans="1:8" ht="12.5">
      <c r="A635" s="16"/>
      <c r="B635" s="16"/>
      <c r="C635" s="16"/>
      <c r="D635" s="16"/>
      <c r="E635" s="16"/>
      <c r="F635" s="16"/>
      <c r="G635" s="16"/>
      <c r="H635" s="16"/>
    </row>
    <row r="636" spans="1:8" ht="12.5">
      <c r="A636" s="16"/>
      <c r="B636" s="16"/>
      <c r="C636" s="16"/>
      <c r="D636" s="16"/>
      <c r="E636" s="16"/>
      <c r="F636" s="16"/>
      <c r="G636" s="16"/>
      <c r="H636" s="16"/>
    </row>
    <row r="637" spans="1:8" ht="12.5">
      <c r="A637" s="16"/>
      <c r="B637" s="16"/>
      <c r="C637" s="16"/>
      <c r="D637" s="16"/>
      <c r="E637" s="16"/>
      <c r="F637" s="16"/>
      <c r="G637" s="16"/>
      <c r="H637" s="16"/>
    </row>
    <row r="638" spans="1:8" ht="12.5">
      <c r="A638" s="16"/>
      <c r="B638" s="16"/>
      <c r="C638" s="16"/>
      <c r="D638" s="16"/>
      <c r="E638" s="16"/>
      <c r="F638" s="16"/>
      <c r="G638" s="16"/>
      <c r="H638" s="16"/>
    </row>
    <row r="639" spans="1:8" ht="12.5">
      <c r="A639" s="16"/>
      <c r="B639" s="16"/>
      <c r="C639" s="16"/>
      <c r="D639" s="16"/>
      <c r="E639" s="16"/>
      <c r="F639" s="16"/>
      <c r="G639" s="16"/>
      <c r="H639" s="16"/>
    </row>
    <row r="640" spans="1:8" ht="12.5">
      <c r="A640" s="16"/>
      <c r="B640" s="16"/>
      <c r="C640" s="16"/>
      <c r="D640" s="16"/>
      <c r="E640" s="16"/>
      <c r="F640" s="16"/>
      <c r="G640" s="16"/>
      <c r="H640" s="16"/>
    </row>
    <row r="641" spans="1:8" ht="12.5">
      <c r="A641" s="16"/>
      <c r="B641" s="16"/>
      <c r="C641" s="16"/>
      <c r="D641" s="16"/>
      <c r="E641" s="16"/>
      <c r="F641" s="16"/>
      <c r="G641" s="16"/>
      <c r="H641" s="16"/>
    </row>
    <row r="642" spans="1:8" ht="12.5">
      <c r="A642" s="16"/>
      <c r="B642" s="16"/>
      <c r="C642" s="16"/>
      <c r="D642" s="16"/>
      <c r="E642" s="16"/>
      <c r="F642" s="16"/>
      <c r="G642" s="16"/>
      <c r="H642" s="16"/>
    </row>
    <row r="643" spans="1:8" ht="12.5">
      <c r="A643" s="16"/>
      <c r="B643" s="16"/>
      <c r="C643" s="16"/>
      <c r="D643" s="16"/>
      <c r="E643" s="16"/>
      <c r="F643" s="16"/>
      <c r="G643" s="16"/>
      <c r="H643" s="16"/>
    </row>
    <row r="644" spans="1:8" ht="12.5">
      <c r="A644" s="16"/>
      <c r="B644" s="16"/>
      <c r="C644" s="16"/>
      <c r="D644" s="16"/>
      <c r="E644" s="16"/>
      <c r="F644" s="16"/>
      <c r="G644" s="16"/>
      <c r="H644" s="16"/>
    </row>
    <row r="645" spans="1:8" ht="12.5">
      <c r="A645" s="16"/>
      <c r="B645" s="16"/>
      <c r="C645" s="16"/>
      <c r="D645" s="16"/>
      <c r="E645" s="16"/>
      <c r="F645" s="16"/>
      <c r="G645" s="16"/>
      <c r="H645" s="16"/>
    </row>
    <row r="646" spans="1:8" ht="12.5">
      <c r="A646" s="16"/>
      <c r="B646" s="16"/>
      <c r="C646" s="16"/>
      <c r="D646" s="16"/>
      <c r="E646" s="16"/>
      <c r="F646" s="16"/>
      <c r="G646" s="16"/>
      <c r="H646" s="16"/>
    </row>
    <row r="647" spans="1:8" ht="12.5">
      <c r="A647" s="16"/>
      <c r="B647" s="16"/>
      <c r="C647" s="16"/>
      <c r="D647" s="16"/>
      <c r="E647" s="16"/>
      <c r="F647" s="16"/>
      <c r="G647" s="16"/>
      <c r="H647" s="16"/>
    </row>
    <row r="648" spans="1:8" ht="12.5">
      <c r="A648" s="16"/>
      <c r="B648" s="16"/>
      <c r="C648" s="16"/>
      <c r="D648" s="16"/>
      <c r="E648" s="16"/>
      <c r="F648" s="16"/>
      <c r="G648" s="16"/>
      <c r="H648" s="16"/>
    </row>
    <row r="649" spans="1:8" ht="12.5">
      <c r="A649" s="16"/>
      <c r="B649" s="16"/>
      <c r="C649" s="16"/>
      <c r="D649" s="16"/>
      <c r="E649" s="16"/>
      <c r="F649" s="16"/>
      <c r="G649" s="16"/>
      <c r="H649" s="16"/>
    </row>
    <row r="650" spans="1:8" ht="12.5">
      <c r="A650" s="16"/>
      <c r="B650" s="16"/>
      <c r="C650" s="16"/>
      <c r="D650" s="16"/>
      <c r="E650" s="16"/>
      <c r="F650" s="16"/>
      <c r="G650" s="16"/>
      <c r="H650" s="16"/>
    </row>
    <row r="651" spans="1:8" ht="12.5">
      <c r="A651" s="16"/>
      <c r="B651" s="16"/>
      <c r="C651" s="16"/>
      <c r="D651" s="16"/>
      <c r="E651" s="16"/>
      <c r="F651" s="16"/>
      <c r="G651" s="16"/>
      <c r="H651" s="16"/>
    </row>
    <row r="652" spans="1:8" ht="12.5">
      <c r="A652" s="16"/>
      <c r="B652" s="16"/>
      <c r="C652" s="16"/>
      <c r="D652" s="16"/>
      <c r="E652" s="16"/>
      <c r="F652" s="16"/>
      <c r="G652" s="16"/>
      <c r="H652" s="16"/>
    </row>
    <row r="653" spans="1:8" ht="12.5">
      <c r="A653" s="16"/>
      <c r="B653" s="16"/>
      <c r="C653" s="16"/>
      <c r="D653" s="16"/>
      <c r="E653" s="16"/>
      <c r="F653" s="16"/>
      <c r="G653" s="16"/>
      <c r="H653" s="16"/>
    </row>
    <row r="654" spans="1:8" ht="12.5">
      <c r="A654" s="16"/>
      <c r="B654" s="16"/>
      <c r="C654" s="16"/>
      <c r="D654" s="16"/>
      <c r="E654" s="16"/>
      <c r="F654" s="16"/>
      <c r="G654" s="16"/>
      <c r="H654" s="16"/>
    </row>
    <row r="655" spans="1:8" ht="12.5">
      <c r="A655" s="16"/>
      <c r="B655" s="16"/>
      <c r="C655" s="16"/>
      <c r="D655" s="16"/>
      <c r="E655" s="16"/>
      <c r="F655" s="16"/>
      <c r="G655" s="16"/>
      <c r="H655" s="16"/>
    </row>
    <row r="656" spans="1:8" ht="12.5">
      <c r="A656" s="16"/>
      <c r="B656" s="16"/>
      <c r="C656" s="16"/>
      <c r="D656" s="16"/>
      <c r="E656" s="16"/>
      <c r="F656" s="16"/>
      <c r="G656" s="16"/>
      <c r="H656" s="16"/>
    </row>
    <row r="657" spans="1:8" ht="12.5">
      <c r="A657" s="16"/>
      <c r="B657" s="16"/>
      <c r="C657" s="16"/>
      <c r="D657" s="16"/>
      <c r="E657" s="16"/>
      <c r="F657" s="16"/>
      <c r="G657" s="16"/>
      <c r="H657" s="16"/>
    </row>
    <row r="658" spans="1:8" ht="12.5">
      <c r="A658" s="16"/>
      <c r="B658" s="16"/>
      <c r="C658" s="16"/>
      <c r="D658" s="16"/>
      <c r="E658" s="16"/>
      <c r="F658" s="16"/>
      <c r="G658" s="16"/>
      <c r="H658" s="16"/>
    </row>
    <row r="659" spans="1:8" ht="12.5">
      <c r="A659" s="16"/>
      <c r="B659" s="16"/>
      <c r="C659" s="16"/>
      <c r="D659" s="16"/>
      <c r="E659" s="16"/>
      <c r="F659" s="16"/>
      <c r="G659" s="16"/>
      <c r="H659" s="16"/>
    </row>
    <row r="660" spans="1:8" ht="12.5">
      <c r="A660" s="16"/>
      <c r="B660" s="16"/>
      <c r="C660" s="16"/>
      <c r="D660" s="16"/>
      <c r="E660" s="16"/>
      <c r="F660" s="16"/>
      <c r="G660" s="16"/>
      <c r="H660" s="16"/>
    </row>
    <row r="661" spans="1:8" ht="12.5">
      <c r="A661" s="16"/>
      <c r="B661" s="16"/>
      <c r="C661" s="16"/>
      <c r="D661" s="16"/>
      <c r="E661" s="16"/>
      <c r="F661" s="16"/>
      <c r="G661" s="16"/>
      <c r="H661" s="16"/>
    </row>
    <row r="662" spans="1:8" ht="12.5">
      <c r="A662" s="16"/>
      <c r="B662" s="16"/>
      <c r="C662" s="16"/>
      <c r="D662" s="16"/>
      <c r="E662" s="16"/>
      <c r="F662" s="16"/>
      <c r="G662" s="16"/>
      <c r="H662" s="16"/>
    </row>
    <row r="663" spans="1:8" ht="12.5">
      <c r="A663" s="16"/>
      <c r="B663" s="16"/>
      <c r="C663" s="16"/>
      <c r="D663" s="16"/>
      <c r="E663" s="16"/>
      <c r="F663" s="16"/>
      <c r="G663" s="16"/>
      <c r="H663" s="16"/>
    </row>
    <row r="664" spans="1:8" ht="12.5">
      <c r="A664" s="16"/>
      <c r="B664" s="16"/>
      <c r="C664" s="16"/>
      <c r="D664" s="16"/>
      <c r="E664" s="16"/>
      <c r="F664" s="16"/>
      <c r="G664" s="16"/>
      <c r="H664" s="16"/>
    </row>
    <row r="665" spans="1:8" ht="12.5">
      <c r="A665" s="16"/>
      <c r="B665" s="16"/>
      <c r="C665" s="16"/>
      <c r="D665" s="16"/>
      <c r="E665" s="16"/>
      <c r="F665" s="16"/>
      <c r="G665" s="16"/>
      <c r="H665" s="16"/>
    </row>
    <row r="666" spans="1:8" ht="12.5">
      <c r="A666" s="16"/>
      <c r="B666" s="16"/>
      <c r="C666" s="16"/>
      <c r="D666" s="16"/>
      <c r="E666" s="16"/>
      <c r="F666" s="16"/>
      <c r="G666" s="16"/>
      <c r="H666" s="16"/>
    </row>
    <row r="667" spans="1:8" ht="12.5">
      <c r="A667" s="16"/>
      <c r="B667" s="16"/>
      <c r="C667" s="16"/>
      <c r="D667" s="16"/>
      <c r="E667" s="16"/>
      <c r="F667" s="16"/>
      <c r="G667" s="16"/>
      <c r="H667" s="16"/>
    </row>
    <row r="668" spans="1:8" ht="12.5">
      <c r="A668" s="16"/>
      <c r="B668" s="16"/>
      <c r="C668" s="16"/>
      <c r="D668" s="16"/>
      <c r="E668" s="16"/>
      <c r="F668" s="16"/>
      <c r="G668" s="16"/>
      <c r="H668" s="16"/>
    </row>
    <row r="669" spans="1:8" ht="12.5">
      <c r="A669" s="16"/>
      <c r="B669" s="16"/>
      <c r="C669" s="16"/>
      <c r="D669" s="16"/>
      <c r="E669" s="16"/>
      <c r="F669" s="16"/>
      <c r="G669" s="16"/>
      <c r="H669" s="16"/>
    </row>
    <row r="670" spans="1:8" ht="12.5">
      <c r="A670" s="16"/>
      <c r="B670" s="16"/>
      <c r="C670" s="16"/>
      <c r="D670" s="16"/>
      <c r="E670" s="16"/>
      <c r="F670" s="16"/>
      <c r="G670" s="16"/>
      <c r="H670" s="16"/>
    </row>
    <row r="671" spans="1:8" ht="12.5">
      <c r="A671" s="16"/>
      <c r="B671" s="16"/>
      <c r="C671" s="16"/>
      <c r="D671" s="16"/>
      <c r="E671" s="16"/>
      <c r="F671" s="16"/>
      <c r="G671" s="16"/>
      <c r="H671" s="16"/>
    </row>
    <row r="672" spans="1:8" ht="12.5">
      <c r="A672" s="16"/>
      <c r="B672" s="16"/>
      <c r="C672" s="16"/>
      <c r="D672" s="16"/>
      <c r="E672" s="16"/>
      <c r="F672" s="16"/>
      <c r="G672" s="16"/>
      <c r="H672" s="16"/>
    </row>
    <row r="673" spans="1:8" ht="12.5">
      <c r="A673" s="16"/>
      <c r="B673" s="16"/>
      <c r="C673" s="16"/>
      <c r="D673" s="16"/>
      <c r="E673" s="16"/>
      <c r="F673" s="16"/>
      <c r="G673" s="16"/>
      <c r="H673" s="16"/>
    </row>
    <row r="674" spans="1:8" ht="12.5">
      <c r="A674" s="16"/>
      <c r="B674" s="16"/>
      <c r="C674" s="16"/>
      <c r="D674" s="16"/>
      <c r="E674" s="16"/>
      <c r="F674" s="16"/>
      <c r="G674" s="16"/>
      <c r="H674" s="16"/>
    </row>
    <row r="675" spans="1:8" ht="12.5">
      <c r="A675" s="16"/>
      <c r="B675" s="16"/>
      <c r="C675" s="16"/>
      <c r="D675" s="16"/>
      <c r="E675" s="16"/>
      <c r="F675" s="16"/>
      <c r="G675" s="16"/>
      <c r="H675" s="16"/>
    </row>
    <row r="676" spans="1:8" ht="12.5">
      <c r="A676" s="16"/>
      <c r="B676" s="16"/>
      <c r="C676" s="16"/>
      <c r="D676" s="16"/>
      <c r="E676" s="16"/>
      <c r="F676" s="16"/>
      <c r="G676" s="16"/>
      <c r="H676" s="16"/>
    </row>
    <row r="677" spans="1:8" ht="12.5">
      <c r="A677" s="16"/>
      <c r="B677" s="16"/>
      <c r="C677" s="16"/>
      <c r="D677" s="16"/>
      <c r="E677" s="16"/>
      <c r="F677" s="16"/>
      <c r="G677" s="16"/>
      <c r="H677" s="16"/>
    </row>
    <row r="678" spans="1:8" ht="12.5">
      <c r="A678" s="16"/>
      <c r="B678" s="16"/>
      <c r="C678" s="16"/>
      <c r="D678" s="16"/>
      <c r="E678" s="16"/>
      <c r="F678" s="16"/>
      <c r="G678" s="16"/>
      <c r="H678" s="16"/>
    </row>
    <row r="679" spans="1:8" ht="12.5">
      <c r="A679" s="16"/>
      <c r="B679" s="16"/>
      <c r="C679" s="16"/>
      <c r="D679" s="16"/>
      <c r="E679" s="16"/>
      <c r="F679" s="16"/>
      <c r="G679" s="16"/>
      <c r="H679" s="16"/>
    </row>
    <row r="680" spans="1:8" ht="12.5">
      <c r="A680" s="16"/>
      <c r="B680" s="16"/>
      <c r="C680" s="16"/>
      <c r="D680" s="16"/>
      <c r="E680" s="16"/>
      <c r="F680" s="16"/>
      <c r="G680" s="16"/>
      <c r="H680" s="16"/>
    </row>
    <row r="681" spans="1:8" ht="12.5">
      <c r="A681" s="16"/>
      <c r="B681" s="16"/>
      <c r="C681" s="16"/>
      <c r="D681" s="16"/>
      <c r="E681" s="16"/>
      <c r="F681" s="16"/>
      <c r="G681" s="16"/>
      <c r="H681" s="16"/>
    </row>
    <row r="682" spans="1:8" ht="12.5">
      <c r="A682" s="16"/>
      <c r="B682" s="16"/>
      <c r="C682" s="16"/>
      <c r="D682" s="16"/>
      <c r="E682" s="16"/>
      <c r="F682" s="16"/>
      <c r="G682" s="16"/>
      <c r="H682" s="16"/>
    </row>
    <row r="683" spans="1:8" ht="12.5">
      <c r="A683" s="16"/>
      <c r="B683" s="16"/>
      <c r="C683" s="16"/>
      <c r="D683" s="16"/>
      <c r="E683" s="16"/>
      <c r="F683" s="16"/>
      <c r="G683" s="16"/>
      <c r="H683" s="16"/>
    </row>
    <row r="684" spans="1:8" ht="12.5">
      <c r="A684" s="16"/>
      <c r="B684" s="16"/>
      <c r="C684" s="16"/>
      <c r="D684" s="16"/>
      <c r="E684" s="16"/>
      <c r="F684" s="16"/>
      <c r="G684" s="16"/>
      <c r="H684" s="16"/>
    </row>
    <row r="685" spans="1:8" ht="12.5">
      <c r="A685" s="16"/>
      <c r="B685" s="16"/>
      <c r="C685" s="16"/>
      <c r="D685" s="16"/>
      <c r="E685" s="16"/>
      <c r="F685" s="16"/>
      <c r="G685" s="16"/>
      <c r="H685" s="16"/>
    </row>
    <row r="686" spans="1:8" ht="12.5">
      <c r="A686" s="16"/>
      <c r="B686" s="16"/>
      <c r="C686" s="16"/>
      <c r="D686" s="16"/>
      <c r="E686" s="16"/>
      <c r="F686" s="16"/>
      <c r="G686" s="16"/>
      <c r="H686" s="16"/>
    </row>
    <row r="687" spans="1:8" ht="12.5">
      <c r="A687" s="16"/>
      <c r="B687" s="16"/>
      <c r="C687" s="16"/>
      <c r="D687" s="16"/>
      <c r="E687" s="16"/>
      <c r="F687" s="16"/>
      <c r="G687" s="16"/>
      <c r="H687" s="16"/>
    </row>
    <row r="688" spans="1:8" ht="12.5">
      <c r="A688" s="16"/>
      <c r="B688" s="16"/>
      <c r="C688" s="16"/>
      <c r="D688" s="16"/>
      <c r="E688" s="16"/>
      <c r="F688" s="16"/>
      <c r="G688" s="16"/>
      <c r="H688" s="16"/>
    </row>
    <row r="689" spans="1:8" ht="12.5">
      <c r="A689" s="16"/>
      <c r="B689" s="16"/>
      <c r="C689" s="16"/>
      <c r="D689" s="16"/>
      <c r="E689" s="16"/>
      <c r="F689" s="16"/>
      <c r="G689" s="16"/>
      <c r="H689" s="16"/>
    </row>
    <row r="690" spans="1:8" ht="12.5">
      <c r="A690" s="16"/>
      <c r="B690" s="16"/>
      <c r="C690" s="16"/>
      <c r="D690" s="16"/>
      <c r="E690" s="16"/>
      <c r="F690" s="16"/>
      <c r="G690" s="16"/>
      <c r="H690" s="16"/>
    </row>
    <row r="691" spans="1:8" ht="12.5">
      <c r="A691" s="16"/>
      <c r="B691" s="16"/>
      <c r="C691" s="16"/>
      <c r="D691" s="16"/>
      <c r="E691" s="16"/>
      <c r="F691" s="16"/>
      <c r="G691" s="16"/>
      <c r="H691" s="16"/>
    </row>
    <row r="692" spans="1:8" ht="12.5">
      <c r="A692" s="16"/>
      <c r="B692" s="16"/>
      <c r="C692" s="16"/>
      <c r="D692" s="16"/>
      <c r="E692" s="16"/>
      <c r="F692" s="16"/>
      <c r="G692" s="16"/>
      <c r="H692" s="16"/>
    </row>
    <row r="693" spans="1:8" ht="12.5">
      <c r="A693" s="16"/>
      <c r="B693" s="16"/>
      <c r="C693" s="16"/>
      <c r="D693" s="16"/>
      <c r="E693" s="16"/>
      <c r="F693" s="16"/>
      <c r="G693" s="16"/>
      <c r="H693" s="16"/>
    </row>
    <row r="694" spans="1:8" ht="12.5">
      <c r="A694" s="16"/>
      <c r="B694" s="16"/>
      <c r="C694" s="16"/>
      <c r="D694" s="16"/>
      <c r="E694" s="16"/>
      <c r="F694" s="16"/>
      <c r="G694" s="16"/>
      <c r="H694" s="16"/>
    </row>
    <row r="695" spans="1:8" ht="12.5">
      <c r="A695" s="16"/>
      <c r="B695" s="16"/>
      <c r="C695" s="16"/>
      <c r="D695" s="16"/>
      <c r="E695" s="16"/>
      <c r="F695" s="16"/>
      <c r="G695" s="16"/>
      <c r="H695" s="16"/>
    </row>
    <row r="696" spans="1:8" ht="12.5">
      <c r="A696" s="16"/>
      <c r="B696" s="16"/>
      <c r="C696" s="16"/>
      <c r="D696" s="16"/>
      <c r="E696" s="16"/>
      <c r="F696" s="16"/>
      <c r="G696" s="16"/>
      <c r="H696" s="16"/>
    </row>
    <row r="697" spans="1:8" ht="12.5">
      <c r="A697" s="16"/>
      <c r="B697" s="16"/>
      <c r="C697" s="16"/>
      <c r="D697" s="16"/>
      <c r="E697" s="16"/>
      <c r="F697" s="16"/>
      <c r="G697" s="16"/>
      <c r="H697" s="16"/>
    </row>
    <row r="698" spans="1:8" ht="12.5">
      <c r="A698" s="16"/>
      <c r="B698" s="16"/>
      <c r="C698" s="16"/>
      <c r="D698" s="16"/>
      <c r="E698" s="16"/>
      <c r="F698" s="16"/>
      <c r="G698" s="16"/>
      <c r="H698" s="16"/>
    </row>
    <row r="699" spans="1:8" ht="12.5">
      <c r="A699" s="16"/>
      <c r="B699" s="16"/>
      <c r="C699" s="16"/>
      <c r="D699" s="16"/>
      <c r="E699" s="16"/>
      <c r="F699" s="16"/>
      <c r="G699" s="16"/>
      <c r="H699" s="16"/>
    </row>
    <row r="700" spans="1:8" ht="12.5">
      <c r="A700" s="16"/>
      <c r="B700" s="16"/>
      <c r="C700" s="16"/>
      <c r="D700" s="16"/>
      <c r="E700" s="16"/>
      <c r="F700" s="16"/>
      <c r="G700" s="16"/>
      <c r="H700" s="16"/>
    </row>
    <row r="701" spans="1:8" ht="12.5">
      <c r="A701" s="16"/>
      <c r="B701" s="16"/>
      <c r="C701" s="16"/>
      <c r="D701" s="16"/>
      <c r="E701" s="16"/>
      <c r="F701" s="16"/>
      <c r="G701" s="16"/>
      <c r="H701" s="16"/>
    </row>
    <row r="702" spans="1:8" ht="12.5">
      <c r="A702" s="16"/>
      <c r="B702" s="16"/>
      <c r="C702" s="16"/>
      <c r="D702" s="16"/>
      <c r="E702" s="16"/>
      <c r="F702" s="16"/>
      <c r="G702" s="16"/>
      <c r="H702" s="16"/>
    </row>
    <row r="703" spans="1:8" ht="12.5">
      <c r="A703" s="16"/>
      <c r="B703" s="16"/>
      <c r="C703" s="16"/>
      <c r="D703" s="16"/>
      <c r="E703" s="16"/>
      <c r="F703" s="16"/>
      <c r="G703" s="16"/>
      <c r="H703" s="16"/>
    </row>
    <row r="704" spans="1:8" ht="12.5">
      <c r="A704" s="16"/>
      <c r="B704" s="16"/>
      <c r="C704" s="16"/>
      <c r="D704" s="16"/>
      <c r="E704" s="16"/>
      <c r="F704" s="16"/>
      <c r="G704" s="16"/>
      <c r="H704" s="16"/>
    </row>
    <row r="705" spans="1:8" ht="12.5">
      <c r="A705" s="16"/>
      <c r="B705" s="16"/>
      <c r="C705" s="16"/>
      <c r="D705" s="16"/>
      <c r="E705" s="16"/>
      <c r="F705" s="16"/>
      <c r="G705" s="16"/>
      <c r="H705" s="16"/>
    </row>
    <row r="706" spans="1:8" ht="12.5">
      <c r="A706" s="16"/>
      <c r="B706" s="16"/>
      <c r="C706" s="16"/>
      <c r="D706" s="16"/>
      <c r="E706" s="16"/>
      <c r="F706" s="16"/>
      <c r="G706" s="16"/>
      <c r="H706" s="16"/>
    </row>
    <row r="707" spans="1:8" ht="12.5">
      <c r="A707" s="16"/>
      <c r="B707" s="16"/>
      <c r="C707" s="16"/>
      <c r="D707" s="16"/>
      <c r="E707" s="16"/>
      <c r="F707" s="16"/>
      <c r="G707" s="16"/>
      <c r="H707" s="16"/>
    </row>
    <row r="708" spans="1:8" ht="12.5">
      <c r="A708" s="16"/>
      <c r="B708" s="16"/>
      <c r="C708" s="16"/>
      <c r="D708" s="16"/>
      <c r="E708" s="16"/>
      <c r="F708" s="16"/>
      <c r="G708" s="16"/>
      <c r="H708" s="16"/>
    </row>
    <row r="709" spans="1:8" ht="12.5">
      <c r="A709" s="16"/>
      <c r="B709" s="16"/>
      <c r="C709" s="16"/>
      <c r="D709" s="16"/>
      <c r="E709" s="16"/>
      <c r="F709" s="16"/>
      <c r="G709" s="16"/>
      <c r="H709" s="16"/>
    </row>
    <row r="710" spans="1:8" ht="12.5">
      <c r="A710" s="16"/>
      <c r="B710" s="16"/>
      <c r="C710" s="16"/>
      <c r="D710" s="16"/>
      <c r="E710" s="16"/>
      <c r="F710" s="16"/>
      <c r="G710" s="16"/>
      <c r="H710" s="16"/>
    </row>
    <row r="711" spans="1:8" ht="12.5">
      <c r="A711" s="16"/>
      <c r="B711" s="16"/>
      <c r="C711" s="16"/>
      <c r="D711" s="16"/>
      <c r="E711" s="16"/>
      <c r="F711" s="16"/>
      <c r="G711" s="16"/>
      <c r="H711" s="16"/>
    </row>
    <row r="712" spans="1:8" ht="12.5">
      <c r="A712" s="16"/>
      <c r="B712" s="16"/>
      <c r="C712" s="16"/>
      <c r="D712" s="16"/>
      <c r="E712" s="16"/>
      <c r="F712" s="16"/>
      <c r="G712" s="16"/>
      <c r="H712" s="16"/>
    </row>
    <row r="713" spans="1:8" ht="12.5">
      <c r="A713" s="16"/>
      <c r="B713" s="16"/>
      <c r="C713" s="16"/>
      <c r="D713" s="16"/>
      <c r="E713" s="16"/>
      <c r="F713" s="16"/>
      <c r="G713" s="16"/>
      <c r="H713" s="16"/>
    </row>
    <row r="714" spans="1:8" ht="12.5">
      <c r="A714" s="16"/>
      <c r="B714" s="16"/>
      <c r="C714" s="16"/>
      <c r="D714" s="16"/>
      <c r="E714" s="16"/>
      <c r="F714" s="16"/>
      <c r="G714" s="16"/>
      <c r="H714" s="16"/>
    </row>
    <row r="715" spans="1:8" ht="12.5">
      <c r="A715" s="16"/>
      <c r="B715" s="16"/>
      <c r="C715" s="16"/>
      <c r="D715" s="16"/>
      <c r="E715" s="16"/>
      <c r="F715" s="16"/>
      <c r="G715" s="16"/>
      <c r="H715" s="16"/>
    </row>
    <row r="716" spans="1:8" ht="12.5">
      <c r="A716" s="16"/>
      <c r="B716" s="16"/>
      <c r="C716" s="16"/>
      <c r="D716" s="16"/>
      <c r="E716" s="16"/>
      <c r="F716" s="16"/>
      <c r="G716" s="16"/>
      <c r="H716" s="16"/>
    </row>
    <row r="717" spans="1:8" ht="12.5">
      <c r="A717" s="16"/>
      <c r="B717" s="16"/>
      <c r="C717" s="16"/>
      <c r="D717" s="16"/>
      <c r="E717" s="16"/>
      <c r="F717" s="16"/>
      <c r="G717" s="16"/>
      <c r="H717" s="16"/>
    </row>
    <row r="718" spans="1:8" ht="12.5">
      <c r="A718" s="16"/>
      <c r="B718" s="16"/>
      <c r="C718" s="16"/>
      <c r="D718" s="16"/>
      <c r="E718" s="16"/>
      <c r="F718" s="16"/>
      <c r="G718" s="16"/>
      <c r="H718" s="16"/>
    </row>
    <row r="719" spans="1:8" ht="12.5">
      <c r="A719" s="16"/>
      <c r="B719" s="16"/>
      <c r="C719" s="16"/>
      <c r="D719" s="16"/>
      <c r="E719" s="16"/>
      <c r="F719" s="16"/>
      <c r="G719" s="16"/>
      <c r="H719" s="16"/>
    </row>
    <row r="720" spans="1:8" ht="12.5">
      <c r="A720" s="16"/>
      <c r="B720" s="16"/>
      <c r="C720" s="16"/>
      <c r="D720" s="16"/>
      <c r="E720" s="16"/>
      <c r="F720" s="16"/>
      <c r="G720" s="16"/>
      <c r="H720" s="16"/>
    </row>
    <row r="721" spans="1:8" ht="12.5">
      <c r="A721" s="16"/>
      <c r="B721" s="16"/>
      <c r="C721" s="16"/>
      <c r="D721" s="16"/>
      <c r="E721" s="16"/>
      <c r="F721" s="16"/>
      <c r="G721" s="16"/>
      <c r="H721" s="16"/>
    </row>
    <row r="722" spans="1:8" ht="12.5">
      <c r="A722" s="16"/>
      <c r="B722" s="16"/>
      <c r="C722" s="16"/>
      <c r="D722" s="16"/>
      <c r="E722" s="16"/>
      <c r="F722" s="16"/>
      <c r="G722" s="16"/>
      <c r="H722" s="16"/>
    </row>
    <row r="723" spans="1:8" ht="12.5">
      <c r="A723" s="16"/>
      <c r="B723" s="16"/>
      <c r="C723" s="16"/>
      <c r="D723" s="16"/>
      <c r="E723" s="16"/>
      <c r="F723" s="16"/>
      <c r="G723" s="16"/>
      <c r="H723" s="16"/>
    </row>
    <row r="724" spans="1:8" ht="12.5">
      <c r="A724" s="16"/>
      <c r="B724" s="16"/>
      <c r="C724" s="16"/>
      <c r="D724" s="16"/>
      <c r="E724" s="16"/>
      <c r="F724" s="16"/>
      <c r="G724" s="16"/>
      <c r="H724" s="16"/>
    </row>
    <row r="725" spans="1:8" ht="12.5">
      <c r="A725" s="16"/>
      <c r="B725" s="16"/>
      <c r="C725" s="16"/>
      <c r="D725" s="16"/>
      <c r="E725" s="16"/>
      <c r="F725" s="16"/>
      <c r="G725" s="16"/>
      <c r="H725" s="16"/>
    </row>
    <row r="726" spans="1:8" ht="12.5">
      <c r="A726" s="16"/>
      <c r="B726" s="16"/>
      <c r="C726" s="16"/>
      <c r="D726" s="16"/>
      <c r="E726" s="16"/>
      <c r="F726" s="16"/>
      <c r="G726" s="16"/>
      <c r="H726" s="16"/>
    </row>
    <row r="727" spans="1:8" ht="12.5">
      <c r="A727" s="16"/>
      <c r="B727" s="16"/>
      <c r="C727" s="16"/>
      <c r="D727" s="16"/>
      <c r="E727" s="16"/>
      <c r="F727" s="16"/>
      <c r="G727" s="16"/>
      <c r="H727" s="16"/>
    </row>
    <row r="728" spans="1:8" ht="12.5">
      <c r="A728" s="16"/>
      <c r="B728" s="16"/>
      <c r="C728" s="16"/>
      <c r="D728" s="16"/>
      <c r="E728" s="16"/>
      <c r="F728" s="16"/>
      <c r="G728" s="16"/>
      <c r="H728" s="16"/>
    </row>
    <row r="729" spans="1:8" ht="12.5">
      <c r="A729" s="16"/>
      <c r="B729" s="16"/>
      <c r="C729" s="16"/>
      <c r="D729" s="16"/>
      <c r="E729" s="16"/>
      <c r="F729" s="16"/>
      <c r="G729" s="16"/>
      <c r="H729" s="16"/>
    </row>
    <row r="730" spans="1:8" ht="12.5">
      <c r="A730" s="16"/>
      <c r="B730" s="16"/>
      <c r="C730" s="16"/>
      <c r="D730" s="16"/>
      <c r="E730" s="16"/>
      <c r="F730" s="16"/>
      <c r="G730" s="16"/>
      <c r="H730" s="16"/>
    </row>
    <row r="731" spans="1:8" ht="12.5">
      <c r="A731" s="16"/>
      <c r="B731" s="16"/>
      <c r="C731" s="16"/>
      <c r="D731" s="16"/>
      <c r="E731" s="16"/>
      <c r="F731" s="16"/>
      <c r="G731" s="16"/>
      <c r="H731" s="16"/>
    </row>
    <row r="732" spans="1:8" ht="12.5">
      <c r="A732" s="16"/>
      <c r="B732" s="16"/>
      <c r="C732" s="16"/>
      <c r="D732" s="16"/>
      <c r="E732" s="16"/>
      <c r="F732" s="16"/>
      <c r="G732" s="16"/>
      <c r="H732" s="16"/>
    </row>
    <row r="733" spans="1:8" ht="12.5">
      <c r="A733" s="16"/>
      <c r="B733" s="16"/>
      <c r="C733" s="16"/>
      <c r="D733" s="16"/>
      <c r="E733" s="16"/>
      <c r="F733" s="16"/>
      <c r="G733" s="16"/>
      <c r="H733" s="16"/>
    </row>
    <row r="734" spans="1:8" ht="12.5">
      <c r="A734" s="16"/>
      <c r="B734" s="16"/>
      <c r="C734" s="16"/>
      <c r="D734" s="16"/>
      <c r="E734" s="16"/>
      <c r="F734" s="16"/>
      <c r="G734" s="16"/>
      <c r="H734" s="16"/>
    </row>
    <row r="735" spans="1:8" ht="12.5">
      <c r="A735" s="16"/>
      <c r="B735" s="16"/>
      <c r="C735" s="16"/>
      <c r="D735" s="16"/>
      <c r="E735" s="16"/>
      <c r="F735" s="16"/>
      <c r="G735" s="16"/>
      <c r="H735" s="16"/>
    </row>
    <row r="736" spans="1:8" ht="12.5">
      <c r="A736" s="16"/>
      <c r="B736" s="16"/>
      <c r="C736" s="16"/>
      <c r="D736" s="16"/>
      <c r="E736" s="16"/>
      <c r="F736" s="16"/>
      <c r="G736" s="16"/>
      <c r="H736" s="16"/>
    </row>
    <row r="737" spans="1:8" ht="12.5">
      <c r="A737" s="16"/>
      <c r="B737" s="16"/>
      <c r="C737" s="16"/>
      <c r="D737" s="16"/>
      <c r="E737" s="16"/>
      <c r="F737" s="16"/>
      <c r="G737" s="16"/>
      <c r="H737" s="16"/>
    </row>
    <row r="738" spans="1:8" ht="12.5">
      <c r="A738" s="16"/>
      <c r="B738" s="16"/>
      <c r="C738" s="16"/>
      <c r="D738" s="16"/>
      <c r="E738" s="16"/>
      <c r="F738" s="16"/>
      <c r="G738" s="16"/>
      <c r="H738" s="16"/>
    </row>
    <row r="739" spans="1:8" ht="12.5">
      <c r="A739" s="16"/>
      <c r="B739" s="16"/>
      <c r="C739" s="16"/>
      <c r="D739" s="16"/>
      <c r="E739" s="16"/>
      <c r="F739" s="16"/>
      <c r="G739" s="16"/>
      <c r="H739" s="16"/>
    </row>
    <row r="740" spans="1:8" ht="12.5">
      <c r="A740" s="16"/>
      <c r="B740" s="16"/>
      <c r="C740" s="16"/>
      <c r="D740" s="16"/>
      <c r="E740" s="16"/>
      <c r="F740" s="16"/>
      <c r="G740" s="16"/>
      <c r="H740" s="16"/>
    </row>
    <row r="741" spans="1:8" ht="12.5">
      <c r="A741" s="16"/>
      <c r="B741" s="16"/>
      <c r="C741" s="16"/>
      <c r="D741" s="16"/>
      <c r="E741" s="16"/>
      <c r="F741" s="16"/>
      <c r="G741" s="16"/>
      <c r="H741" s="16"/>
    </row>
    <row r="742" spans="1:8" ht="12.5">
      <c r="A742" s="16"/>
      <c r="B742" s="16"/>
      <c r="C742" s="16"/>
      <c r="D742" s="16"/>
      <c r="E742" s="16"/>
      <c r="F742" s="16"/>
      <c r="G742" s="16"/>
      <c r="H742" s="16"/>
    </row>
    <row r="743" spans="1:8" ht="12.5">
      <c r="A743" s="16"/>
      <c r="B743" s="16"/>
      <c r="C743" s="16"/>
      <c r="D743" s="16"/>
      <c r="E743" s="16"/>
      <c r="F743" s="16"/>
      <c r="G743" s="16"/>
      <c r="H743" s="16"/>
    </row>
    <row r="744" spans="1:8" ht="12.5">
      <c r="A744" s="16"/>
      <c r="B744" s="16"/>
      <c r="C744" s="16"/>
      <c r="D744" s="16"/>
      <c r="E744" s="16"/>
      <c r="F744" s="16"/>
      <c r="G744" s="16"/>
      <c r="H744" s="16"/>
    </row>
    <row r="745" spans="1:8" ht="12.5">
      <c r="A745" s="16"/>
      <c r="B745" s="16"/>
      <c r="C745" s="16"/>
      <c r="D745" s="16"/>
      <c r="E745" s="16"/>
      <c r="F745" s="16"/>
      <c r="G745" s="16"/>
      <c r="H745" s="16"/>
    </row>
    <row r="746" spans="1:8" ht="12.5">
      <c r="A746" s="16"/>
      <c r="B746" s="16"/>
      <c r="C746" s="16"/>
      <c r="D746" s="16"/>
      <c r="E746" s="16"/>
      <c r="F746" s="16"/>
      <c r="G746" s="16"/>
      <c r="H746" s="16"/>
    </row>
    <row r="747" spans="1:8" ht="12.5">
      <c r="A747" s="16"/>
      <c r="B747" s="16"/>
      <c r="C747" s="16"/>
      <c r="D747" s="16"/>
      <c r="E747" s="16"/>
      <c r="F747" s="16"/>
      <c r="G747" s="16"/>
      <c r="H747" s="16"/>
    </row>
    <row r="748" spans="1:8" ht="12.5">
      <c r="A748" s="16"/>
      <c r="B748" s="16"/>
      <c r="C748" s="16"/>
      <c r="D748" s="16"/>
      <c r="E748" s="16"/>
      <c r="F748" s="16"/>
      <c r="G748" s="16"/>
      <c r="H748" s="16"/>
    </row>
    <row r="749" spans="1:8" ht="12.5">
      <c r="A749" s="16"/>
      <c r="B749" s="16"/>
      <c r="C749" s="16"/>
      <c r="D749" s="16"/>
      <c r="E749" s="16"/>
      <c r="F749" s="16"/>
      <c r="G749" s="16"/>
      <c r="H749" s="16"/>
    </row>
    <row r="750" spans="1:8" ht="12.5">
      <c r="A750" s="16"/>
      <c r="B750" s="16"/>
      <c r="C750" s="16"/>
      <c r="D750" s="16"/>
      <c r="E750" s="16"/>
      <c r="F750" s="16"/>
      <c r="G750" s="16"/>
      <c r="H750" s="16"/>
    </row>
    <row r="751" spans="1:8" ht="12.5">
      <c r="A751" s="16"/>
      <c r="B751" s="16"/>
      <c r="C751" s="16"/>
      <c r="D751" s="16"/>
      <c r="E751" s="16"/>
      <c r="F751" s="16"/>
      <c r="G751" s="16"/>
      <c r="H751" s="16"/>
    </row>
    <row r="752" spans="1:8" ht="12.5">
      <c r="A752" s="16"/>
      <c r="B752" s="16"/>
      <c r="C752" s="16"/>
      <c r="D752" s="16"/>
      <c r="E752" s="16"/>
      <c r="F752" s="16"/>
      <c r="G752" s="16"/>
      <c r="H752" s="16"/>
    </row>
    <row r="753" spans="1:8" ht="12.5">
      <c r="A753" s="16"/>
      <c r="B753" s="16"/>
      <c r="C753" s="16"/>
      <c r="D753" s="16"/>
      <c r="E753" s="16"/>
      <c r="F753" s="16"/>
      <c r="G753" s="16"/>
      <c r="H753" s="16"/>
    </row>
    <row r="754" spans="1:8" ht="12.5">
      <c r="A754" s="16"/>
      <c r="B754" s="16"/>
      <c r="C754" s="16"/>
      <c r="D754" s="16"/>
      <c r="E754" s="16"/>
      <c r="F754" s="16"/>
      <c r="G754" s="16"/>
      <c r="H754" s="16"/>
    </row>
    <row r="755" spans="1:8" ht="12.5">
      <c r="A755" s="16"/>
      <c r="B755" s="16"/>
      <c r="C755" s="16"/>
      <c r="D755" s="16"/>
      <c r="E755" s="16"/>
      <c r="F755" s="16"/>
      <c r="G755" s="16"/>
      <c r="H755" s="16"/>
    </row>
    <row r="756" spans="1:8" ht="12.5">
      <c r="A756" s="16"/>
      <c r="B756" s="16"/>
      <c r="C756" s="16"/>
      <c r="D756" s="16"/>
      <c r="E756" s="16"/>
      <c r="F756" s="16"/>
      <c r="G756" s="16"/>
      <c r="H756" s="16"/>
    </row>
    <row r="757" spans="1:8" ht="12.5">
      <c r="A757" s="16"/>
      <c r="B757" s="16"/>
      <c r="C757" s="16"/>
      <c r="D757" s="16"/>
      <c r="E757" s="16"/>
      <c r="F757" s="16"/>
      <c r="G757" s="16"/>
      <c r="H757" s="16"/>
    </row>
    <row r="758" spans="1:8" ht="12.5">
      <c r="A758" s="16"/>
      <c r="B758" s="16"/>
      <c r="C758" s="16"/>
      <c r="D758" s="16"/>
      <c r="E758" s="16"/>
      <c r="F758" s="16"/>
      <c r="G758" s="16"/>
      <c r="H758" s="16"/>
    </row>
    <row r="759" spans="1:8" ht="12.5">
      <c r="A759" s="16"/>
      <c r="B759" s="16"/>
      <c r="C759" s="16"/>
      <c r="D759" s="16"/>
      <c r="E759" s="16"/>
      <c r="F759" s="16"/>
      <c r="G759" s="16"/>
      <c r="H759" s="16"/>
    </row>
    <row r="760" spans="1:8" ht="12.5">
      <c r="A760" s="16"/>
      <c r="B760" s="16"/>
      <c r="C760" s="16"/>
      <c r="D760" s="16"/>
      <c r="E760" s="16"/>
      <c r="F760" s="16"/>
      <c r="G760" s="16"/>
      <c r="H760" s="16"/>
    </row>
    <row r="761" spans="1:8" ht="12.5">
      <c r="A761" s="16"/>
      <c r="B761" s="16"/>
      <c r="C761" s="16"/>
      <c r="D761" s="16"/>
      <c r="E761" s="16"/>
      <c r="F761" s="16"/>
      <c r="G761" s="16"/>
      <c r="H761" s="16"/>
    </row>
    <row r="762" spans="1:8" ht="12.5">
      <c r="A762" s="16"/>
      <c r="B762" s="16"/>
      <c r="C762" s="16"/>
      <c r="D762" s="16"/>
      <c r="E762" s="16"/>
      <c r="F762" s="16"/>
      <c r="G762" s="16"/>
      <c r="H762" s="16"/>
    </row>
    <row r="763" spans="1:8" ht="12.5">
      <c r="A763" s="16"/>
      <c r="B763" s="16"/>
      <c r="C763" s="16"/>
      <c r="D763" s="16"/>
      <c r="E763" s="16"/>
      <c r="F763" s="16"/>
      <c r="G763" s="16"/>
      <c r="H763" s="16"/>
    </row>
    <row r="764" spans="1:8" ht="12.5">
      <c r="A764" s="16"/>
      <c r="B764" s="16"/>
      <c r="C764" s="16"/>
      <c r="D764" s="16"/>
      <c r="E764" s="16"/>
      <c r="F764" s="16"/>
      <c r="G764" s="16"/>
      <c r="H764" s="16"/>
    </row>
    <row r="765" spans="1:8" ht="12.5">
      <c r="A765" s="16"/>
      <c r="B765" s="16"/>
      <c r="C765" s="16"/>
      <c r="D765" s="16"/>
      <c r="E765" s="16"/>
      <c r="F765" s="16"/>
      <c r="G765" s="16"/>
      <c r="H765" s="16"/>
    </row>
    <row r="766" spans="1:8" ht="12.5">
      <c r="A766" s="16"/>
      <c r="B766" s="16"/>
      <c r="C766" s="16"/>
      <c r="D766" s="16"/>
      <c r="E766" s="16"/>
      <c r="F766" s="16"/>
      <c r="G766" s="16"/>
      <c r="H766" s="16"/>
    </row>
    <row r="767" spans="1:8" ht="12.5">
      <c r="A767" s="16"/>
      <c r="B767" s="16"/>
      <c r="C767" s="16"/>
      <c r="D767" s="16"/>
      <c r="E767" s="16"/>
      <c r="F767" s="16"/>
      <c r="G767" s="16"/>
      <c r="H767" s="16"/>
    </row>
    <row r="768" spans="1:8" ht="12.5">
      <c r="A768" s="16"/>
      <c r="B768" s="16"/>
      <c r="C768" s="16"/>
      <c r="D768" s="16"/>
      <c r="E768" s="16"/>
      <c r="F768" s="16"/>
      <c r="G768" s="16"/>
      <c r="H768" s="16"/>
    </row>
    <row r="769" spans="1:8" ht="12.5">
      <c r="A769" s="16"/>
      <c r="B769" s="16"/>
      <c r="C769" s="16"/>
      <c r="D769" s="16"/>
      <c r="E769" s="16"/>
      <c r="F769" s="16"/>
      <c r="G769" s="16"/>
      <c r="H769" s="16"/>
    </row>
    <row r="770" spans="1:8" ht="12.5">
      <c r="A770" s="16"/>
      <c r="B770" s="16"/>
      <c r="C770" s="16"/>
      <c r="D770" s="16"/>
      <c r="E770" s="16"/>
      <c r="F770" s="16"/>
      <c r="G770" s="16"/>
      <c r="H770" s="16"/>
    </row>
    <row r="771" spans="1:8" ht="12.5">
      <c r="A771" s="16"/>
      <c r="B771" s="16"/>
      <c r="C771" s="16"/>
      <c r="D771" s="16"/>
      <c r="E771" s="16"/>
      <c r="F771" s="16"/>
      <c r="G771" s="16"/>
      <c r="H771" s="16"/>
    </row>
    <row r="772" spans="1:8" ht="12.5">
      <c r="A772" s="16"/>
      <c r="B772" s="16"/>
      <c r="C772" s="16"/>
      <c r="D772" s="16"/>
      <c r="E772" s="16"/>
      <c r="F772" s="16"/>
      <c r="G772" s="16"/>
      <c r="H772" s="16"/>
    </row>
    <row r="773" spans="1:8" ht="12.5">
      <c r="A773" s="16"/>
      <c r="B773" s="16"/>
      <c r="C773" s="16"/>
      <c r="D773" s="16"/>
      <c r="E773" s="16"/>
      <c r="F773" s="16"/>
      <c r="G773" s="16"/>
      <c r="H773" s="16"/>
    </row>
    <row r="774" spans="1:8" ht="12.5">
      <c r="A774" s="16"/>
      <c r="B774" s="16"/>
      <c r="C774" s="16"/>
      <c r="D774" s="16"/>
      <c r="E774" s="16"/>
      <c r="F774" s="16"/>
      <c r="G774" s="16"/>
      <c r="H774" s="16"/>
    </row>
    <row r="775" spans="1:8" ht="12.5">
      <c r="A775" s="16"/>
      <c r="B775" s="16"/>
      <c r="C775" s="16"/>
      <c r="D775" s="16"/>
      <c r="E775" s="16"/>
      <c r="F775" s="16"/>
      <c r="G775" s="16"/>
      <c r="H775" s="16"/>
    </row>
    <row r="776" spans="1:8" ht="12.5">
      <c r="A776" s="16"/>
      <c r="B776" s="16"/>
      <c r="C776" s="16"/>
      <c r="D776" s="16"/>
      <c r="E776" s="16"/>
      <c r="F776" s="16"/>
      <c r="G776" s="16"/>
      <c r="H776" s="16"/>
    </row>
    <row r="777" spans="1:8" ht="12.5">
      <c r="A777" s="16"/>
      <c r="B777" s="16"/>
      <c r="C777" s="16"/>
      <c r="D777" s="16"/>
      <c r="E777" s="16"/>
      <c r="F777" s="16"/>
      <c r="G777" s="16"/>
      <c r="H777" s="16"/>
    </row>
    <row r="778" spans="1:8" ht="12.5">
      <c r="A778" s="16"/>
      <c r="B778" s="16"/>
      <c r="C778" s="16"/>
      <c r="D778" s="16"/>
      <c r="E778" s="16"/>
      <c r="F778" s="16"/>
      <c r="G778" s="16"/>
      <c r="H778" s="16"/>
    </row>
    <row r="779" spans="1:8" ht="12.5">
      <c r="A779" s="16"/>
      <c r="B779" s="16"/>
      <c r="C779" s="16"/>
      <c r="D779" s="16"/>
      <c r="E779" s="16"/>
      <c r="F779" s="16"/>
      <c r="G779" s="16"/>
      <c r="H779" s="16"/>
    </row>
    <row r="780" spans="1:8" ht="12.5">
      <c r="A780" s="16"/>
      <c r="B780" s="16"/>
      <c r="C780" s="16"/>
      <c r="D780" s="16"/>
      <c r="E780" s="16"/>
      <c r="F780" s="16"/>
      <c r="G780" s="16"/>
      <c r="H780" s="16"/>
    </row>
    <row r="781" spans="1:8" ht="12.5">
      <c r="A781" s="16"/>
      <c r="B781" s="16"/>
      <c r="C781" s="16"/>
      <c r="D781" s="16"/>
      <c r="E781" s="16"/>
      <c r="F781" s="16"/>
      <c r="G781" s="16"/>
      <c r="H781" s="16"/>
    </row>
    <row r="782" spans="1:8" ht="12.5">
      <c r="A782" s="16"/>
      <c r="B782" s="16"/>
      <c r="C782" s="16"/>
      <c r="D782" s="16"/>
      <c r="E782" s="16"/>
      <c r="F782" s="16"/>
      <c r="G782" s="16"/>
      <c r="H782" s="16"/>
    </row>
    <row r="783" spans="1:8" ht="12.5">
      <c r="A783" s="16"/>
      <c r="B783" s="16"/>
      <c r="C783" s="16"/>
      <c r="D783" s="16"/>
      <c r="E783" s="16"/>
      <c r="F783" s="16"/>
      <c r="G783" s="16"/>
      <c r="H783" s="16"/>
    </row>
    <row r="784" spans="1:8" ht="12.5">
      <c r="A784" s="16"/>
      <c r="B784" s="16"/>
      <c r="C784" s="16"/>
      <c r="D784" s="16"/>
      <c r="E784" s="16"/>
      <c r="F784" s="16"/>
      <c r="G784" s="16"/>
      <c r="H784" s="16"/>
    </row>
    <row r="785" spans="1:8" ht="12.5">
      <c r="A785" s="16"/>
      <c r="B785" s="16"/>
      <c r="C785" s="16"/>
      <c r="D785" s="16"/>
      <c r="E785" s="16"/>
      <c r="F785" s="16"/>
      <c r="G785" s="16"/>
      <c r="H785" s="16"/>
    </row>
    <row r="786" spans="1:8" ht="12.5">
      <c r="A786" s="16"/>
      <c r="B786" s="16"/>
      <c r="C786" s="16"/>
      <c r="D786" s="16"/>
      <c r="E786" s="16"/>
      <c r="F786" s="16"/>
      <c r="G786" s="16"/>
      <c r="H786" s="16"/>
    </row>
    <row r="787" spans="1:8" ht="12.5">
      <c r="A787" s="16"/>
      <c r="B787" s="16"/>
      <c r="C787" s="16"/>
      <c r="D787" s="16"/>
      <c r="E787" s="16"/>
      <c r="F787" s="16"/>
      <c r="G787" s="16"/>
      <c r="H787" s="16"/>
    </row>
    <row r="788" spans="1:8" ht="12.5">
      <c r="A788" s="16"/>
      <c r="B788" s="16"/>
      <c r="C788" s="16"/>
      <c r="D788" s="16"/>
      <c r="E788" s="16"/>
      <c r="F788" s="16"/>
      <c r="G788" s="16"/>
      <c r="H788" s="16"/>
    </row>
    <row r="789" spans="1:8" ht="12.5">
      <c r="A789" s="16"/>
      <c r="B789" s="16"/>
      <c r="C789" s="16"/>
      <c r="D789" s="16"/>
      <c r="E789" s="16"/>
      <c r="F789" s="16"/>
      <c r="G789" s="16"/>
      <c r="H789" s="16"/>
    </row>
    <row r="790" spans="1:8" ht="12.5">
      <c r="A790" s="16"/>
      <c r="B790" s="16"/>
      <c r="C790" s="16"/>
      <c r="D790" s="16"/>
      <c r="E790" s="16"/>
      <c r="F790" s="16"/>
      <c r="G790" s="16"/>
      <c r="H790" s="16"/>
    </row>
    <row r="791" spans="1:8" ht="12.5">
      <c r="A791" s="16"/>
      <c r="B791" s="16"/>
      <c r="C791" s="16"/>
      <c r="D791" s="16"/>
      <c r="E791" s="16"/>
      <c r="F791" s="16"/>
      <c r="G791" s="16"/>
      <c r="H791" s="16"/>
    </row>
    <row r="792" spans="1:8" ht="12.5">
      <c r="A792" s="16"/>
      <c r="B792" s="16"/>
      <c r="C792" s="16"/>
      <c r="D792" s="16"/>
      <c r="E792" s="16"/>
      <c r="F792" s="16"/>
      <c r="G792" s="16"/>
      <c r="H792" s="16"/>
    </row>
    <row r="793" spans="1:8" ht="12.5">
      <c r="A793" s="16"/>
      <c r="B793" s="16"/>
      <c r="C793" s="16"/>
      <c r="D793" s="16"/>
      <c r="E793" s="16"/>
      <c r="F793" s="16"/>
      <c r="G793" s="16"/>
      <c r="H793" s="16"/>
    </row>
    <row r="794" spans="1:8" ht="12.5">
      <c r="A794" s="16"/>
      <c r="B794" s="16"/>
      <c r="C794" s="16"/>
      <c r="D794" s="16"/>
      <c r="E794" s="16"/>
      <c r="F794" s="16"/>
      <c r="G794" s="16"/>
      <c r="H794" s="16"/>
    </row>
    <row r="795" spans="1:8" ht="12.5">
      <c r="A795" s="16"/>
      <c r="B795" s="16"/>
      <c r="C795" s="16"/>
      <c r="D795" s="16"/>
      <c r="E795" s="16"/>
      <c r="F795" s="16"/>
      <c r="G795" s="16"/>
      <c r="H795" s="16"/>
    </row>
    <row r="796" spans="1:8" ht="12.5">
      <c r="A796" s="16"/>
      <c r="B796" s="16"/>
      <c r="C796" s="16"/>
      <c r="D796" s="16"/>
      <c r="E796" s="16"/>
      <c r="F796" s="16"/>
      <c r="G796" s="16"/>
      <c r="H796" s="16"/>
    </row>
    <row r="797" spans="1:8" ht="12.5">
      <c r="A797" s="16"/>
      <c r="B797" s="16"/>
      <c r="C797" s="16"/>
      <c r="D797" s="16"/>
      <c r="E797" s="16"/>
      <c r="F797" s="16"/>
      <c r="G797" s="16"/>
      <c r="H797" s="16"/>
    </row>
    <row r="798" spans="1:8" ht="12.5">
      <c r="A798" s="16"/>
      <c r="B798" s="16"/>
      <c r="C798" s="16"/>
      <c r="D798" s="16"/>
      <c r="E798" s="16"/>
      <c r="F798" s="16"/>
      <c r="G798" s="16"/>
      <c r="H798" s="16"/>
    </row>
    <row r="799" spans="1:8" ht="12.5">
      <c r="A799" s="16"/>
      <c r="B799" s="16"/>
      <c r="C799" s="16"/>
      <c r="D799" s="16"/>
      <c r="E799" s="16"/>
      <c r="F799" s="16"/>
      <c r="G799" s="16"/>
      <c r="H799" s="16"/>
    </row>
    <row r="800" spans="1:8" ht="12.5">
      <c r="A800" s="16"/>
      <c r="B800" s="16"/>
      <c r="C800" s="16"/>
      <c r="D800" s="16"/>
      <c r="E800" s="16"/>
      <c r="F800" s="16"/>
      <c r="G800" s="16"/>
      <c r="H800" s="16"/>
    </row>
    <row r="801" spans="1:8" ht="12.5">
      <c r="A801" s="16"/>
      <c r="B801" s="16"/>
      <c r="C801" s="16"/>
      <c r="D801" s="16"/>
      <c r="E801" s="16"/>
      <c r="F801" s="16"/>
      <c r="G801" s="16"/>
      <c r="H801" s="16"/>
    </row>
    <row r="802" spans="1:8" ht="12.5">
      <c r="A802" s="16"/>
      <c r="B802" s="16"/>
      <c r="C802" s="16"/>
      <c r="D802" s="16"/>
      <c r="E802" s="16"/>
      <c r="F802" s="16"/>
      <c r="G802" s="16"/>
      <c r="H802" s="16"/>
    </row>
    <row r="803" spans="1:8" ht="12.5">
      <c r="A803" s="16"/>
      <c r="B803" s="16"/>
      <c r="C803" s="16"/>
      <c r="D803" s="16"/>
      <c r="E803" s="16"/>
      <c r="F803" s="16"/>
      <c r="G803" s="16"/>
      <c r="H803" s="16"/>
    </row>
    <row r="804" spans="1:8" ht="12.5">
      <c r="A804" s="16"/>
      <c r="B804" s="16"/>
      <c r="C804" s="16"/>
      <c r="D804" s="16"/>
      <c r="E804" s="16"/>
      <c r="F804" s="16"/>
      <c r="G804" s="16"/>
      <c r="H804" s="16"/>
    </row>
    <row r="805" spans="1:8" ht="12.5">
      <c r="A805" s="16"/>
      <c r="B805" s="16"/>
      <c r="C805" s="16"/>
      <c r="D805" s="16"/>
      <c r="E805" s="16"/>
      <c r="F805" s="16"/>
      <c r="G805" s="16"/>
      <c r="H805" s="16"/>
    </row>
    <row r="806" spans="1:8" ht="12.5">
      <c r="A806" s="16"/>
      <c r="B806" s="16"/>
      <c r="C806" s="16"/>
      <c r="D806" s="16"/>
      <c r="E806" s="16"/>
      <c r="F806" s="16"/>
      <c r="G806" s="16"/>
      <c r="H806" s="16"/>
    </row>
    <row r="807" spans="1:8" ht="12.5">
      <c r="A807" s="16"/>
      <c r="B807" s="16"/>
      <c r="C807" s="16"/>
      <c r="D807" s="16"/>
      <c r="E807" s="16"/>
      <c r="F807" s="16"/>
      <c r="G807" s="16"/>
      <c r="H807" s="16"/>
    </row>
    <row r="808" spans="1:8" ht="12.5">
      <c r="A808" s="16"/>
      <c r="B808" s="16"/>
      <c r="C808" s="16"/>
      <c r="D808" s="16"/>
      <c r="E808" s="16"/>
      <c r="F808" s="16"/>
      <c r="G808" s="16"/>
      <c r="H808" s="16"/>
    </row>
    <row r="809" spans="1:8" ht="12.5">
      <c r="A809" s="16"/>
      <c r="B809" s="16"/>
      <c r="C809" s="16"/>
      <c r="D809" s="16"/>
      <c r="E809" s="16"/>
      <c r="F809" s="16"/>
      <c r="G809" s="16"/>
      <c r="H809" s="16"/>
    </row>
    <row r="810" spans="1:8" ht="12.5">
      <c r="A810" s="16"/>
      <c r="B810" s="16"/>
      <c r="C810" s="16"/>
      <c r="D810" s="16"/>
      <c r="E810" s="16"/>
      <c r="F810" s="16"/>
      <c r="G810" s="16"/>
      <c r="H810" s="16"/>
    </row>
    <row r="811" spans="1:8" ht="12.5">
      <c r="A811" s="16"/>
      <c r="B811" s="16"/>
      <c r="C811" s="16"/>
      <c r="D811" s="16"/>
      <c r="E811" s="16"/>
      <c r="F811" s="16"/>
      <c r="G811" s="16"/>
      <c r="H811" s="16"/>
    </row>
    <row r="812" spans="1:8" ht="12.5">
      <c r="A812" s="16"/>
      <c r="B812" s="16"/>
      <c r="C812" s="16"/>
      <c r="D812" s="16"/>
      <c r="E812" s="16"/>
      <c r="F812" s="16"/>
      <c r="G812" s="16"/>
      <c r="H812" s="16"/>
    </row>
    <row r="813" spans="1:8" ht="12.5">
      <c r="A813" s="16"/>
      <c r="B813" s="16"/>
      <c r="C813" s="16"/>
      <c r="D813" s="16"/>
      <c r="E813" s="16"/>
      <c r="F813" s="16"/>
      <c r="G813" s="16"/>
      <c r="H813" s="16"/>
    </row>
    <row r="814" spans="1:8" ht="12.5">
      <c r="A814" s="16"/>
      <c r="B814" s="16"/>
      <c r="C814" s="16"/>
      <c r="D814" s="16"/>
      <c r="E814" s="16"/>
      <c r="F814" s="16"/>
      <c r="G814" s="16"/>
      <c r="H814" s="16"/>
    </row>
    <row r="815" spans="1:8" ht="12.5">
      <c r="A815" s="16"/>
      <c r="B815" s="16"/>
      <c r="C815" s="16"/>
      <c r="D815" s="16"/>
      <c r="E815" s="16"/>
      <c r="F815" s="16"/>
      <c r="G815" s="16"/>
      <c r="H815" s="16"/>
    </row>
    <row r="816" spans="1:8" ht="12.5">
      <c r="A816" s="16"/>
      <c r="B816" s="16"/>
      <c r="C816" s="16"/>
      <c r="D816" s="16"/>
      <c r="E816" s="16"/>
      <c r="F816" s="16"/>
      <c r="G816" s="16"/>
      <c r="H816" s="16"/>
    </row>
    <row r="817" spans="1:8" ht="12.5">
      <c r="A817" s="16"/>
      <c r="B817" s="16"/>
      <c r="C817" s="16"/>
      <c r="D817" s="16"/>
      <c r="E817" s="16"/>
      <c r="F817" s="16"/>
      <c r="G817" s="16"/>
      <c r="H817" s="16"/>
    </row>
    <row r="818" spans="1:8" ht="12.5">
      <c r="A818" s="16"/>
      <c r="B818" s="16"/>
      <c r="C818" s="16"/>
      <c r="D818" s="16"/>
      <c r="E818" s="16"/>
      <c r="F818" s="16"/>
      <c r="G818" s="16"/>
      <c r="H818" s="16"/>
    </row>
    <row r="819" spans="1:8" ht="12.5">
      <c r="A819" s="16"/>
      <c r="B819" s="16"/>
      <c r="C819" s="16"/>
      <c r="D819" s="16"/>
      <c r="E819" s="16"/>
      <c r="F819" s="16"/>
      <c r="G819" s="16"/>
      <c r="H819" s="16"/>
    </row>
    <row r="820" spans="1:8" ht="12.5">
      <c r="A820" s="16"/>
      <c r="B820" s="16"/>
      <c r="C820" s="16"/>
      <c r="D820" s="16"/>
      <c r="E820" s="16"/>
      <c r="F820" s="16"/>
      <c r="G820" s="16"/>
      <c r="H820" s="16"/>
    </row>
    <row r="821" spans="1:8" ht="12.5">
      <c r="A821" s="16"/>
      <c r="B821" s="16"/>
      <c r="C821" s="16"/>
      <c r="D821" s="16"/>
      <c r="E821" s="16"/>
      <c r="F821" s="16"/>
      <c r="G821" s="16"/>
      <c r="H821" s="16"/>
    </row>
    <row r="822" spans="1:8" ht="12.5">
      <c r="A822" s="16"/>
      <c r="B822" s="16"/>
      <c r="C822" s="16"/>
      <c r="D822" s="16"/>
      <c r="E822" s="16"/>
      <c r="F822" s="16"/>
      <c r="G822" s="16"/>
      <c r="H822" s="16"/>
    </row>
    <row r="823" spans="1:8" ht="12.5">
      <c r="A823" s="16"/>
      <c r="B823" s="16"/>
      <c r="C823" s="16"/>
      <c r="D823" s="16"/>
      <c r="E823" s="16"/>
      <c r="F823" s="16"/>
      <c r="G823" s="16"/>
      <c r="H823" s="16"/>
    </row>
    <row r="824" spans="1:8" ht="12.5">
      <c r="A824" s="16"/>
      <c r="B824" s="16"/>
      <c r="C824" s="16"/>
      <c r="D824" s="16"/>
      <c r="E824" s="16"/>
      <c r="F824" s="16"/>
      <c r="G824" s="16"/>
      <c r="H824" s="16"/>
    </row>
    <row r="825" spans="1:8" ht="12.5">
      <c r="A825" s="16"/>
      <c r="B825" s="16"/>
      <c r="C825" s="16"/>
      <c r="D825" s="16"/>
      <c r="E825" s="16"/>
      <c r="F825" s="16"/>
      <c r="G825" s="16"/>
      <c r="H825" s="16"/>
    </row>
    <row r="826" spans="1:8" ht="12.5">
      <c r="A826" s="16"/>
      <c r="B826" s="16"/>
      <c r="C826" s="16"/>
      <c r="D826" s="16"/>
      <c r="E826" s="16"/>
      <c r="F826" s="16"/>
      <c r="G826" s="16"/>
      <c r="H826" s="16"/>
    </row>
    <row r="827" spans="1:8" ht="12.5">
      <c r="A827" s="16"/>
      <c r="B827" s="16"/>
      <c r="C827" s="16"/>
      <c r="D827" s="16"/>
      <c r="E827" s="16"/>
      <c r="F827" s="16"/>
      <c r="G827" s="16"/>
      <c r="H827" s="16"/>
    </row>
    <row r="828" spans="1:8" ht="12.5">
      <c r="A828" s="16"/>
      <c r="B828" s="16"/>
      <c r="C828" s="16"/>
      <c r="D828" s="16"/>
      <c r="E828" s="16"/>
      <c r="F828" s="16"/>
      <c r="G828" s="16"/>
      <c r="H828" s="16"/>
    </row>
    <row r="829" spans="1:8" ht="12.5">
      <c r="A829" s="16"/>
      <c r="B829" s="16"/>
      <c r="C829" s="16"/>
      <c r="D829" s="16"/>
      <c r="E829" s="16"/>
      <c r="F829" s="16"/>
      <c r="G829" s="16"/>
      <c r="H829" s="16"/>
    </row>
    <row r="830" spans="1:8" ht="12.5">
      <c r="A830" s="16"/>
      <c r="B830" s="16"/>
      <c r="C830" s="16"/>
      <c r="D830" s="16"/>
      <c r="E830" s="16"/>
      <c r="F830" s="16"/>
      <c r="G830" s="16"/>
      <c r="H830" s="16"/>
    </row>
    <row r="831" spans="1:8" ht="12.5">
      <c r="A831" s="16"/>
      <c r="B831" s="16"/>
      <c r="C831" s="16"/>
      <c r="D831" s="16"/>
      <c r="E831" s="16"/>
      <c r="F831" s="16"/>
      <c r="G831" s="16"/>
      <c r="H831" s="16"/>
    </row>
    <row r="832" spans="1:8" ht="12.5">
      <c r="A832" s="16"/>
      <c r="B832" s="16"/>
      <c r="C832" s="16"/>
      <c r="D832" s="16"/>
      <c r="E832" s="16"/>
      <c r="F832" s="16"/>
      <c r="G832" s="16"/>
      <c r="H832" s="16"/>
    </row>
    <row r="833" spans="1:8" ht="12.5">
      <c r="A833" s="16"/>
      <c r="B833" s="16"/>
      <c r="C833" s="16"/>
      <c r="D833" s="16"/>
      <c r="E833" s="16"/>
      <c r="F833" s="16"/>
      <c r="G833" s="16"/>
      <c r="H833" s="16"/>
    </row>
    <row r="834" spans="1:8" ht="12.5">
      <c r="A834" s="16"/>
      <c r="B834" s="16"/>
      <c r="C834" s="16"/>
      <c r="D834" s="16"/>
      <c r="E834" s="16"/>
      <c r="F834" s="16"/>
      <c r="G834" s="16"/>
      <c r="H834" s="16"/>
    </row>
    <row r="835" spans="1:8" ht="12.5">
      <c r="A835" s="16"/>
      <c r="B835" s="16"/>
      <c r="C835" s="16"/>
      <c r="D835" s="16"/>
      <c r="E835" s="16"/>
      <c r="F835" s="16"/>
      <c r="G835" s="16"/>
      <c r="H835" s="16"/>
    </row>
    <row r="836" spans="1:8" ht="12.5">
      <c r="A836" s="16"/>
      <c r="B836" s="16"/>
      <c r="C836" s="16"/>
      <c r="D836" s="16"/>
      <c r="E836" s="16"/>
      <c r="F836" s="16"/>
      <c r="G836" s="16"/>
      <c r="H836" s="16"/>
    </row>
    <row r="837" spans="1:8" ht="12.5">
      <c r="A837" s="16"/>
      <c r="B837" s="16"/>
      <c r="C837" s="16"/>
      <c r="D837" s="16"/>
      <c r="E837" s="16"/>
      <c r="F837" s="16"/>
      <c r="G837" s="16"/>
      <c r="H837" s="16"/>
    </row>
    <row r="838" spans="1:8" ht="12.5">
      <c r="A838" s="16"/>
      <c r="B838" s="16"/>
      <c r="C838" s="16"/>
      <c r="D838" s="16"/>
      <c r="E838" s="16"/>
      <c r="F838" s="16"/>
      <c r="G838" s="16"/>
      <c r="H838" s="16"/>
    </row>
    <row r="839" spans="1:8" ht="12.5">
      <c r="A839" s="16"/>
      <c r="B839" s="16"/>
      <c r="C839" s="16"/>
      <c r="D839" s="16"/>
      <c r="E839" s="16"/>
      <c r="F839" s="16"/>
      <c r="G839" s="16"/>
      <c r="H839" s="16"/>
    </row>
    <row r="840" spans="1:8" ht="12.5">
      <c r="A840" s="16"/>
      <c r="B840" s="16"/>
      <c r="C840" s="16"/>
      <c r="D840" s="16"/>
      <c r="E840" s="16"/>
      <c r="F840" s="16"/>
      <c r="G840" s="16"/>
      <c r="H840" s="16"/>
    </row>
    <row r="841" spans="1:8" ht="12.5">
      <c r="A841" s="16"/>
      <c r="B841" s="16"/>
      <c r="C841" s="16"/>
      <c r="D841" s="16"/>
      <c r="E841" s="16"/>
      <c r="F841" s="16"/>
      <c r="G841" s="16"/>
      <c r="H841" s="16"/>
    </row>
    <row r="842" spans="1:8" ht="12.5">
      <c r="A842" s="16"/>
      <c r="B842" s="16"/>
      <c r="C842" s="16"/>
      <c r="D842" s="16"/>
      <c r="E842" s="16"/>
      <c r="F842" s="16"/>
      <c r="G842" s="16"/>
      <c r="H842" s="16"/>
    </row>
    <row r="843" spans="1:8" ht="12.5">
      <c r="A843" s="16"/>
      <c r="B843" s="16"/>
      <c r="C843" s="16"/>
      <c r="D843" s="16"/>
      <c r="E843" s="16"/>
      <c r="F843" s="16"/>
      <c r="G843" s="16"/>
      <c r="H843" s="16"/>
    </row>
    <row r="844" spans="1:8" ht="12.5">
      <c r="A844" s="16"/>
      <c r="B844" s="16"/>
      <c r="C844" s="16"/>
      <c r="D844" s="16"/>
      <c r="E844" s="16"/>
      <c r="F844" s="16"/>
      <c r="G844" s="16"/>
      <c r="H844" s="16"/>
    </row>
    <row r="845" spans="1:8" ht="12.5">
      <c r="A845" s="16"/>
      <c r="B845" s="16"/>
      <c r="C845" s="16"/>
      <c r="D845" s="16"/>
      <c r="E845" s="16"/>
      <c r="F845" s="16"/>
      <c r="G845" s="16"/>
      <c r="H845" s="16"/>
    </row>
    <row r="846" spans="1:8" ht="12.5">
      <c r="A846" s="16"/>
      <c r="B846" s="16"/>
      <c r="C846" s="16"/>
      <c r="D846" s="16"/>
      <c r="E846" s="16"/>
      <c r="F846" s="16"/>
      <c r="G846" s="16"/>
      <c r="H846" s="16"/>
    </row>
    <row r="847" spans="1:8" ht="12.5">
      <c r="A847" s="16"/>
      <c r="B847" s="16"/>
      <c r="C847" s="16"/>
      <c r="D847" s="16"/>
      <c r="E847" s="16"/>
      <c r="F847" s="16"/>
      <c r="G847" s="16"/>
      <c r="H847" s="16"/>
    </row>
    <row r="848" spans="1:8" ht="12.5">
      <c r="A848" s="16"/>
      <c r="B848" s="16"/>
      <c r="C848" s="16"/>
      <c r="D848" s="16"/>
      <c r="E848" s="16"/>
      <c r="F848" s="16"/>
      <c r="G848" s="16"/>
      <c r="H848" s="16"/>
    </row>
    <row r="849" spans="1:8" ht="12.5">
      <c r="A849" s="16"/>
      <c r="B849" s="16"/>
      <c r="C849" s="16"/>
      <c r="D849" s="16"/>
      <c r="E849" s="16"/>
      <c r="F849" s="16"/>
      <c r="G849" s="16"/>
      <c r="H849" s="16"/>
    </row>
    <row r="850" spans="1:8" ht="12.5">
      <c r="A850" s="16"/>
      <c r="B850" s="16"/>
      <c r="C850" s="16"/>
      <c r="D850" s="16"/>
      <c r="E850" s="16"/>
      <c r="F850" s="16"/>
      <c r="G850" s="16"/>
      <c r="H850" s="16"/>
    </row>
    <row r="851" spans="1:8" ht="12.5">
      <c r="A851" s="16"/>
      <c r="B851" s="16"/>
      <c r="C851" s="16"/>
      <c r="D851" s="16"/>
      <c r="E851" s="16"/>
      <c r="F851" s="16"/>
      <c r="G851" s="16"/>
      <c r="H851" s="16"/>
    </row>
    <row r="852" spans="1:8" ht="12.5">
      <c r="A852" s="16"/>
      <c r="B852" s="16"/>
      <c r="C852" s="16"/>
      <c r="D852" s="16"/>
      <c r="E852" s="16"/>
      <c r="F852" s="16"/>
      <c r="G852" s="16"/>
      <c r="H852" s="16"/>
    </row>
    <row r="853" spans="1:8" ht="12.5">
      <c r="A853" s="16"/>
      <c r="B853" s="16"/>
      <c r="C853" s="16"/>
      <c r="D853" s="16"/>
      <c r="E853" s="16"/>
      <c r="F853" s="16"/>
      <c r="G853" s="16"/>
      <c r="H853" s="16"/>
    </row>
    <row r="854" spans="1:8" ht="12.5">
      <c r="A854" s="16"/>
      <c r="B854" s="16"/>
      <c r="C854" s="16"/>
      <c r="D854" s="16"/>
      <c r="E854" s="16"/>
      <c r="F854" s="16"/>
      <c r="G854" s="16"/>
      <c r="H854" s="16"/>
    </row>
    <row r="855" spans="1:8" ht="12.5">
      <c r="A855" s="16"/>
      <c r="B855" s="16"/>
      <c r="C855" s="16"/>
      <c r="D855" s="16"/>
      <c r="E855" s="16"/>
      <c r="F855" s="16"/>
      <c r="G855" s="16"/>
      <c r="H855" s="16"/>
    </row>
    <row r="856" spans="1:8" ht="12.5">
      <c r="A856" s="16"/>
      <c r="B856" s="16"/>
      <c r="C856" s="16"/>
      <c r="D856" s="16"/>
      <c r="E856" s="16"/>
      <c r="F856" s="16"/>
      <c r="G856" s="16"/>
      <c r="H856" s="16"/>
    </row>
    <row r="857" spans="1:8" ht="12.5">
      <c r="A857" s="16"/>
      <c r="B857" s="16"/>
      <c r="C857" s="16"/>
      <c r="D857" s="16"/>
      <c r="E857" s="16"/>
      <c r="F857" s="16"/>
      <c r="G857" s="16"/>
      <c r="H857" s="16"/>
    </row>
    <row r="858" spans="1:8" ht="12.5">
      <c r="A858" s="16"/>
      <c r="B858" s="16"/>
      <c r="C858" s="16"/>
      <c r="D858" s="16"/>
      <c r="E858" s="16"/>
      <c r="F858" s="16"/>
      <c r="G858" s="16"/>
      <c r="H858" s="16"/>
    </row>
    <row r="859" spans="1:8" ht="12.5">
      <c r="A859" s="16"/>
      <c r="B859" s="16"/>
      <c r="C859" s="16"/>
      <c r="D859" s="16"/>
      <c r="E859" s="16"/>
      <c r="F859" s="16"/>
      <c r="G859" s="16"/>
      <c r="H859" s="16"/>
    </row>
    <row r="860" spans="1:8" ht="12.5">
      <c r="A860" s="16"/>
      <c r="B860" s="16"/>
      <c r="C860" s="16"/>
      <c r="D860" s="16"/>
      <c r="E860" s="16"/>
      <c r="F860" s="16"/>
      <c r="G860" s="16"/>
      <c r="H860" s="16"/>
    </row>
    <row r="861" spans="1:8" ht="12.5">
      <c r="A861" s="16"/>
      <c r="B861" s="16"/>
      <c r="C861" s="16"/>
      <c r="D861" s="16"/>
      <c r="E861" s="16"/>
      <c r="F861" s="16"/>
      <c r="G861" s="16"/>
      <c r="H861" s="16"/>
    </row>
    <row r="862" spans="1:8" ht="12.5">
      <c r="A862" s="16"/>
      <c r="B862" s="16"/>
      <c r="C862" s="16"/>
      <c r="D862" s="16"/>
      <c r="E862" s="16"/>
      <c r="F862" s="16"/>
      <c r="G862" s="16"/>
      <c r="H862" s="16"/>
    </row>
    <row r="863" spans="1:8" ht="12.5">
      <c r="A863" s="16"/>
      <c r="B863" s="16"/>
      <c r="C863" s="16"/>
      <c r="D863" s="16"/>
      <c r="E863" s="16"/>
      <c r="F863" s="16"/>
      <c r="G863" s="16"/>
      <c r="H863" s="16"/>
    </row>
    <row r="864" spans="1:8" ht="12.5">
      <c r="A864" s="16"/>
      <c r="B864" s="16"/>
      <c r="C864" s="16"/>
      <c r="D864" s="16"/>
      <c r="E864" s="16"/>
      <c r="F864" s="16"/>
      <c r="G864" s="16"/>
      <c r="H864" s="16"/>
    </row>
    <row r="865" spans="1:8" ht="12.5">
      <c r="A865" s="16"/>
      <c r="B865" s="16"/>
      <c r="C865" s="16"/>
      <c r="D865" s="16"/>
      <c r="E865" s="16"/>
      <c r="F865" s="16"/>
      <c r="G865" s="16"/>
      <c r="H865" s="16"/>
    </row>
    <row r="866" spans="1:8" ht="12.5">
      <c r="A866" s="16"/>
      <c r="B866" s="16"/>
      <c r="C866" s="16"/>
      <c r="D866" s="16"/>
      <c r="E866" s="16"/>
      <c r="F866" s="16"/>
      <c r="G866" s="16"/>
      <c r="H866" s="16"/>
    </row>
    <row r="867" spans="1:8" ht="12.5">
      <c r="A867" s="16"/>
      <c r="B867" s="16"/>
      <c r="C867" s="16"/>
      <c r="D867" s="16"/>
      <c r="E867" s="16"/>
      <c r="F867" s="16"/>
      <c r="G867" s="16"/>
      <c r="H867" s="16"/>
    </row>
    <row r="868" spans="1:8" ht="12.5">
      <c r="A868" s="16"/>
      <c r="B868" s="16"/>
      <c r="C868" s="16"/>
      <c r="D868" s="16"/>
      <c r="E868" s="16"/>
      <c r="F868" s="16"/>
      <c r="G868" s="16"/>
      <c r="H868" s="16"/>
    </row>
    <row r="869" spans="1:8" ht="12.5">
      <c r="A869" s="16"/>
      <c r="B869" s="16"/>
      <c r="C869" s="16"/>
      <c r="D869" s="16"/>
      <c r="E869" s="16"/>
      <c r="F869" s="16"/>
      <c r="G869" s="16"/>
      <c r="H869" s="16"/>
    </row>
    <row r="870" spans="1:8" ht="12.5">
      <c r="A870" s="16"/>
      <c r="B870" s="16"/>
      <c r="C870" s="16"/>
      <c r="D870" s="16"/>
      <c r="E870" s="16"/>
      <c r="F870" s="16"/>
      <c r="G870" s="16"/>
      <c r="H870" s="16"/>
    </row>
    <row r="871" spans="1:8" ht="12.5">
      <c r="A871" s="16"/>
      <c r="B871" s="16"/>
      <c r="C871" s="16"/>
      <c r="D871" s="16"/>
      <c r="E871" s="16"/>
      <c r="F871" s="16"/>
      <c r="G871" s="16"/>
      <c r="H871" s="16"/>
    </row>
    <row r="872" spans="1:8" ht="12.5">
      <c r="A872" s="16"/>
      <c r="B872" s="16"/>
      <c r="C872" s="16"/>
      <c r="D872" s="16"/>
      <c r="E872" s="16"/>
      <c r="F872" s="16"/>
      <c r="G872" s="16"/>
      <c r="H872" s="16"/>
    </row>
    <row r="873" spans="1:8" ht="12.5">
      <c r="A873" s="16"/>
      <c r="B873" s="16"/>
      <c r="C873" s="16"/>
      <c r="D873" s="16"/>
      <c r="E873" s="16"/>
      <c r="F873" s="16"/>
      <c r="G873" s="16"/>
      <c r="H873" s="16"/>
    </row>
    <row r="874" spans="1:8" ht="12.5">
      <c r="A874" s="16"/>
      <c r="B874" s="16"/>
      <c r="C874" s="16"/>
      <c r="D874" s="16"/>
      <c r="E874" s="16"/>
      <c r="F874" s="16"/>
      <c r="G874" s="16"/>
      <c r="H874" s="16"/>
    </row>
    <row r="875" spans="1:8" ht="12.5">
      <c r="A875" s="16"/>
      <c r="B875" s="16"/>
      <c r="C875" s="16"/>
      <c r="D875" s="16"/>
      <c r="E875" s="16"/>
      <c r="F875" s="16"/>
      <c r="G875" s="16"/>
      <c r="H875" s="16"/>
    </row>
    <row r="876" spans="1:8" ht="12.5">
      <c r="A876" s="16"/>
      <c r="B876" s="16"/>
      <c r="C876" s="16"/>
      <c r="D876" s="16"/>
      <c r="E876" s="16"/>
      <c r="F876" s="16"/>
      <c r="G876" s="16"/>
      <c r="H876" s="16"/>
    </row>
    <row r="877" spans="1:8" ht="12.5">
      <c r="A877" s="16"/>
      <c r="B877" s="16"/>
      <c r="C877" s="16"/>
      <c r="D877" s="16"/>
      <c r="E877" s="16"/>
      <c r="F877" s="16"/>
      <c r="G877" s="16"/>
      <c r="H877" s="16"/>
    </row>
    <row r="878" spans="1:8" ht="12.5">
      <c r="A878" s="16"/>
      <c r="B878" s="16"/>
      <c r="C878" s="16"/>
      <c r="D878" s="16"/>
      <c r="E878" s="16"/>
      <c r="F878" s="16"/>
      <c r="G878" s="16"/>
      <c r="H878" s="16"/>
    </row>
    <row r="879" spans="1:8" ht="12.5">
      <c r="A879" s="16"/>
      <c r="B879" s="16"/>
      <c r="C879" s="16"/>
      <c r="D879" s="16"/>
      <c r="E879" s="16"/>
      <c r="F879" s="16"/>
      <c r="G879" s="16"/>
      <c r="H879" s="16"/>
    </row>
    <row r="880" spans="1:8" ht="12.5">
      <c r="A880" s="16"/>
      <c r="B880" s="16"/>
      <c r="C880" s="16"/>
      <c r="D880" s="16"/>
      <c r="E880" s="16"/>
      <c r="F880" s="16"/>
      <c r="G880" s="16"/>
      <c r="H880" s="16"/>
    </row>
    <row r="881" spans="1:8" ht="12.5">
      <c r="A881" s="16"/>
      <c r="B881" s="16"/>
      <c r="C881" s="16"/>
      <c r="D881" s="16"/>
      <c r="E881" s="16"/>
      <c r="F881" s="16"/>
      <c r="G881" s="16"/>
      <c r="H881" s="16"/>
    </row>
    <row r="882" spans="1:8" ht="12.5">
      <c r="A882" s="16"/>
      <c r="B882" s="16"/>
      <c r="C882" s="16"/>
      <c r="D882" s="16"/>
      <c r="E882" s="16"/>
      <c r="F882" s="16"/>
      <c r="G882" s="16"/>
      <c r="H882" s="16"/>
    </row>
    <row r="883" spans="1:8" ht="12.5">
      <c r="A883" s="16"/>
      <c r="B883" s="16"/>
      <c r="C883" s="16"/>
      <c r="D883" s="16"/>
      <c r="E883" s="16"/>
      <c r="F883" s="16"/>
      <c r="G883" s="16"/>
      <c r="H883" s="16"/>
    </row>
    <row r="884" spans="1:8" ht="12.5">
      <c r="A884" s="16"/>
      <c r="B884" s="16"/>
      <c r="C884" s="16"/>
      <c r="D884" s="16"/>
      <c r="E884" s="16"/>
      <c r="F884" s="16"/>
      <c r="G884" s="16"/>
      <c r="H884" s="16"/>
    </row>
    <row r="885" spans="1:8" ht="12.5">
      <c r="A885" s="16"/>
      <c r="B885" s="16"/>
      <c r="C885" s="16"/>
      <c r="D885" s="16"/>
      <c r="E885" s="16"/>
      <c r="F885" s="16"/>
      <c r="G885" s="16"/>
      <c r="H885" s="16"/>
    </row>
    <row r="886" spans="1:8" ht="12.5">
      <c r="A886" s="16"/>
      <c r="B886" s="16"/>
      <c r="C886" s="16"/>
      <c r="D886" s="16"/>
      <c r="E886" s="16"/>
      <c r="F886" s="16"/>
      <c r="G886" s="16"/>
      <c r="H886" s="16"/>
    </row>
    <row r="887" spans="1:8" ht="12.5">
      <c r="A887" s="16"/>
      <c r="B887" s="16"/>
      <c r="C887" s="16"/>
      <c r="D887" s="16"/>
      <c r="E887" s="16"/>
      <c r="F887" s="16"/>
      <c r="G887" s="16"/>
      <c r="H887" s="16"/>
    </row>
    <row r="888" spans="1:8" ht="12.5">
      <c r="A888" s="16"/>
      <c r="B888" s="16"/>
      <c r="C888" s="16"/>
      <c r="D888" s="16"/>
      <c r="E888" s="16"/>
      <c r="F888" s="16"/>
      <c r="G888" s="16"/>
      <c r="H888" s="16"/>
    </row>
    <row r="889" spans="1:8" ht="12.5">
      <c r="A889" s="16"/>
      <c r="B889" s="16"/>
      <c r="C889" s="16"/>
      <c r="D889" s="16"/>
      <c r="E889" s="16"/>
      <c r="F889" s="16"/>
      <c r="G889" s="16"/>
      <c r="H889" s="16"/>
    </row>
    <row r="890" spans="1:8" ht="12.5">
      <c r="A890" s="16"/>
      <c r="B890" s="16"/>
      <c r="C890" s="16"/>
      <c r="D890" s="16"/>
      <c r="E890" s="16"/>
      <c r="F890" s="16"/>
      <c r="G890" s="16"/>
      <c r="H890" s="16"/>
    </row>
    <row r="891" spans="1:8" ht="12.5">
      <c r="A891" s="16"/>
      <c r="B891" s="16"/>
      <c r="C891" s="16"/>
      <c r="D891" s="16"/>
      <c r="E891" s="16"/>
      <c r="F891" s="16"/>
      <c r="G891" s="16"/>
      <c r="H891" s="16"/>
    </row>
    <row r="892" spans="1:8" ht="12.5">
      <c r="A892" s="16"/>
      <c r="B892" s="16"/>
      <c r="C892" s="16"/>
      <c r="D892" s="16"/>
      <c r="E892" s="16"/>
      <c r="F892" s="16"/>
      <c r="G892" s="16"/>
      <c r="H892" s="16"/>
    </row>
    <row r="893" spans="1:8" ht="12.5">
      <c r="A893" s="16"/>
      <c r="B893" s="16"/>
      <c r="C893" s="16"/>
      <c r="D893" s="16"/>
      <c r="E893" s="16"/>
      <c r="F893" s="16"/>
      <c r="G893" s="16"/>
      <c r="H893" s="16"/>
    </row>
    <row r="894" spans="1:8" ht="12.5">
      <c r="A894" s="16"/>
      <c r="B894" s="16"/>
      <c r="C894" s="16"/>
      <c r="D894" s="16"/>
      <c r="E894" s="16"/>
      <c r="F894" s="16"/>
      <c r="G894" s="16"/>
      <c r="H894" s="16"/>
    </row>
    <row r="895" spans="1:8" ht="12.5">
      <c r="A895" s="16"/>
      <c r="B895" s="16"/>
      <c r="C895" s="16"/>
      <c r="D895" s="16"/>
      <c r="E895" s="16"/>
      <c r="F895" s="16"/>
      <c r="G895" s="16"/>
      <c r="H895" s="16"/>
    </row>
    <row r="896" spans="1:8" ht="12.5">
      <c r="A896" s="16"/>
      <c r="B896" s="16"/>
      <c r="C896" s="16"/>
      <c r="D896" s="16"/>
      <c r="E896" s="16"/>
      <c r="F896" s="16"/>
      <c r="G896" s="16"/>
      <c r="H896" s="16"/>
    </row>
    <row r="897" spans="1:8" ht="12.5">
      <c r="A897" s="16"/>
      <c r="B897" s="16"/>
      <c r="C897" s="16"/>
      <c r="D897" s="16"/>
      <c r="E897" s="16"/>
      <c r="F897" s="16"/>
      <c r="G897" s="16"/>
      <c r="H897" s="16"/>
    </row>
    <row r="898" spans="1:8" ht="12.5">
      <c r="A898" s="16"/>
      <c r="B898" s="16"/>
      <c r="C898" s="16"/>
      <c r="D898" s="16"/>
      <c r="E898" s="16"/>
      <c r="F898" s="16"/>
      <c r="G898" s="16"/>
      <c r="H898" s="16"/>
    </row>
    <row r="899" spans="1:8" ht="12.5">
      <c r="A899" s="16"/>
      <c r="B899" s="16"/>
      <c r="C899" s="16"/>
      <c r="D899" s="16"/>
      <c r="E899" s="16"/>
      <c r="F899" s="16"/>
      <c r="G899" s="16"/>
      <c r="H899" s="16"/>
    </row>
    <row r="900" spans="1:8" ht="12.5">
      <c r="A900" s="16"/>
      <c r="B900" s="16"/>
      <c r="C900" s="16"/>
      <c r="D900" s="16"/>
      <c r="E900" s="16"/>
      <c r="F900" s="16"/>
      <c r="G900" s="16"/>
      <c r="H900" s="16"/>
    </row>
    <row r="901" spans="1:8" ht="12.5">
      <c r="A901" s="16"/>
      <c r="B901" s="16"/>
      <c r="C901" s="16"/>
      <c r="D901" s="16"/>
      <c r="E901" s="16"/>
      <c r="F901" s="16"/>
      <c r="G901" s="16"/>
      <c r="H901" s="16"/>
    </row>
    <row r="902" spans="1:8" ht="12.5">
      <c r="A902" s="16"/>
      <c r="B902" s="16"/>
      <c r="C902" s="16"/>
      <c r="D902" s="16"/>
      <c r="E902" s="16"/>
      <c r="F902" s="16"/>
      <c r="G902" s="16"/>
      <c r="H902" s="16"/>
    </row>
    <row r="903" spans="1:8" ht="12.5">
      <c r="A903" s="16"/>
      <c r="B903" s="16"/>
      <c r="C903" s="16"/>
      <c r="D903" s="16"/>
      <c r="E903" s="16"/>
      <c r="F903" s="16"/>
      <c r="G903" s="16"/>
      <c r="H903" s="16"/>
    </row>
    <row r="904" spans="1:8" ht="12.5">
      <c r="A904" s="16"/>
      <c r="B904" s="16"/>
      <c r="C904" s="16"/>
      <c r="D904" s="16"/>
      <c r="E904" s="16"/>
      <c r="F904" s="16"/>
      <c r="G904" s="16"/>
      <c r="H904" s="16"/>
    </row>
    <row r="905" spans="1:8" ht="12.5">
      <c r="A905" s="16"/>
      <c r="B905" s="16"/>
      <c r="C905" s="16"/>
      <c r="D905" s="16"/>
      <c r="E905" s="16"/>
      <c r="F905" s="16"/>
      <c r="G905" s="16"/>
      <c r="H905" s="16"/>
    </row>
    <row r="906" spans="1:8" ht="12.5">
      <c r="A906" s="16"/>
      <c r="B906" s="16"/>
      <c r="C906" s="16"/>
      <c r="D906" s="16"/>
      <c r="E906" s="16"/>
      <c r="F906" s="16"/>
      <c r="G906" s="16"/>
      <c r="H906" s="16"/>
    </row>
    <row r="907" spans="1:8" ht="12.5">
      <c r="A907" s="16"/>
      <c r="B907" s="16"/>
      <c r="C907" s="16"/>
      <c r="D907" s="16"/>
      <c r="E907" s="16"/>
      <c r="F907" s="16"/>
      <c r="G907" s="16"/>
      <c r="H907" s="16"/>
    </row>
    <row r="908" spans="1:8" ht="12.5">
      <c r="A908" s="16"/>
      <c r="B908" s="16"/>
      <c r="C908" s="16"/>
      <c r="D908" s="16"/>
      <c r="E908" s="16"/>
      <c r="F908" s="16"/>
      <c r="G908" s="16"/>
      <c r="H908" s="16"/>
    </row>
    <row r="909" spans="1:8" ht="12.5">
      <c r="A909" s="16"/>
      <c r="B909" s="16"/>
      <c r="C909" s="16"/>
      <c r="D909" s="16"/>
      <c r="E909" s="16"/>
      <c r="F909" s="16"/>
      <c r="G909" s="16"/>
      <c r="H909" s="16"/>
    </row>
    <row r="910" spans="1:8" ht="12.5">
      <c r="A910" s="16"/>
      <c r="B910" s="16"/>
      <c r="C910" s="16"/>
      <c r="D910" s="16"/>
      <c r="E910" s="16"/>
      <c r="F910" s="16"/>
      <c r="G910" s="16"/>
      <c r="H910" s="16"/>
    </row>
    <row r="911" spans="1:8" ht="12.5">
      <c r="A911" s="16"/>
      <c r="B911" s="16"/>
      <c r="C911" s="16"/>
      <c r="D911" s="16"/>
      <c r="E911" s="16"/>
      <c r="F911" s="16"/>
      <c r="G911" s="16"/>
      <c r="H911" s="16"/>
    </row>
    <row r="912" spans="1:8" ht="12.5">
      <c r="A912" s="16"/>
      <c r="B912" s="16"/>
      <c r="C912" s="16"/>
      <c r="D912" s="16"/>
      <c r="E912" s="16"/>
      <c r="F912" s="16"/>
      <c r="G912" s="16"/>
      <c r="H912" s="16"/>
    </row>
    <row r="913" spans="1:8" ht="12.5">
      <c r="A913" s="16"/>
      <c r="B913" s="16"/>
      <c r="C913" s="16"/>
      <c r="D913" s="16"/>
      <c r="E913" s="16"/>
      <c r="F913" s="16"/>
      <c r="G913" s="16"/>
      <c r="H913" s="16"/>
    </row>
    <row r="914" spans="1:8" ht="12.5">
      <c r="A914" s="16"/>
      <c r="B914" s="16"/>
      <c r="C914" s="16"/>
      <c r="D914" s="16"/>
      <c r="E914" s="16"/>
      <c r="F914" s="16"/>
      <c r="G914" s="16"/>
      <c r="H914" s="16"/>
    </row>
    <row r="915" spans="1:8" ht="12.5">
      <c r="A915" s="16"/>
      <c r="B915" s="16"/>
      <c r="C915" s="16"/>
      <c r="D915" s="16"/>
      <c r="E915" s="16"/>
      <c r="F915" s="16"/>
      <c r="G915" s="16"/>
      <c r="H915" s="16"/>
    </row>
    <row r="916" spans="1:8" ht="12.5">
      <c r="A916" s="16"/>
      <c r="B916" s="16"/>
      <c r="C916" s="16"/>
      <c r="D916" s="16"/>
      <c r="E916" s="16"/>
      <c r="F916" s="16"/>
      <c r="G916" s="16"/>
      <c r="H916" s="16"/>
    </row>
    <row r="917" spans="1:8" ht="12.5">
      <c r="A917" s="16"/>
      <c r="B917" s="16"/>
      <c r="C917" s="16"/>
      <c r="D917" s="16"/>
      <c r="E917" s="16"/>
      <c r="F917" s="16"/>
      <c r="G917" s="16"/>
      <c r="H917" s="16"/>
    </row>
    <row r="918" spans="1:8" ht="12.5">
      <c r="A918" s="16"/>
      <c r="B918" s="16"/>
      <c r="C918" s="16"/>
      <c r="D918" s="16"/>
      <c r="E918" s="16"/>
      <c r="F918" s="16"/>
      <c r="G918" s="16"/>
      <c r="H918" s="16"/>
    </row>
    <row r="919" spans="1:8" ht="12.5">
      <c r="A919" s="16"/>
      <c r="B919" s="16"/>
      <c r="C919" s="16"/>
      <c r="D919" s="16"/>
      <c r="E919" s="16"/>
      <c r="F919" s="16"/>
      <c r="G919" s="16"/>
      <c r="H919" s="16"/>
    </row>
    <row r="920" spans="1:8" ht="12.5">
      <c r="A920" s="16"/>
      <c r="B920" s="16"/>
      <c r="C920" s="16"/>
      <c r="D920" s="16"/>
      <c r="E920" s="16"/>
      <c r="F920" s="16"/>
      <c r="G920" s="16"/>
      <c r="H920" s="16"/>
    </row>
    <row r="921" spans="1:8" ht="12.5">
      <c r="A921" s="16"/>
      <c r="B921" s="16"/>
      <c r="C921" s="16"/>
      <c r="D921" s="16"/>
      <c r="E921" s="16"/>
      <c r="F921" s="16"/>
      <c r="G921" s="16"/>
      <c r="H921" s="16"/>
    </row>
    <row r="922" spans="1:8" ht="12.5">
      <c r="A922" s="16"/>
      <c r="B922" s="16"/>
      <c r="C922" s="16"/>
      <c r="D922" s="16"/>
      <c r="E922" s="16"/>
      <c r="F922" s="16"/>
      <c r="G922" s="16"/>
      <c r="H922" s="16"/>
    </row>
    <row r="923" spans="1:8" ht="12.5">
      <c r="A923" s="16"/>
      <c r="B923" s="16"/>
      <c r="C923" s="16"/>
      <c r="D923" s="16"/>
      <c r="E923" s="16"/>
      <c r="F923" s="16"/>
      <c r="G923" s="16"/>
      <c r="H923" s="16"/>
    </row>
    <row r="924" spans="1:8" ht="12.5">
      <c r="A924" s="16"/>
      <c r="B924" s="16"/>
      <c r="C924" s="16"/>
      <c r="D924" s="16"/>
      <c r="E924" s="16"/>
      <c r="F924" s="16"/>
      <c r="G924" s="16"/>
      <c r="H924" s="16"/>
    </row>
    <row r="925" spans="1:8" ht="12.5">
      <c r="A925" s="16"/>
      <c r="B925" s="16"/>
      <c r="C925" s="16"/>
      <c r="D925" s="16"/>
      <c r="E925" s="16"/>
      <c r="F925" s="16"/>
      <c r="G925" s="16"/>
      <c r="H925" s="16"/>
    </row>
    <row r="926" spans="1:8" ht="12.5">
      <c r="A926" s="16"/>
      <c r="B926" s="16"/>
      <c r="C926" s="16"/>
      <c r="D926" s="16"/>
      <c r="E926" s="16"/>
      <c r="F926" s="16"/>
      <c r="G926" s="16"/>
      <c r="H926" s="16"/>
    </row>
    <row r="927" spans="1:8" ht="12.5">
      <c r="A927" s="16"/>
      <c r="B927" s="16"/>
      <c r="C927" s="16"/>
      <c r="D927" s="16"/>
      <c r="E927" s="16"/>
      <c r="F927" s="16"/>
      <c r="G927" s="16"/>
      <c r="H927" s="16"/>
    </row>
    <row r="928" spans="1:8" ht="12.5">
      <c r="A928" s="16"/>
      <c r="B928" s="16"/>
      <c r="C928" s="16"/>
      <c r="D928" s="16"/>
      <c r="E928" s="16"/>
      <c r="F928" s="16"/>
      <c r="G928" s="16"/>
      <c r="H928" s="16"/>
    </row>
    <row r="929" spans="1:8" ht="12.5">
      <c r="A929" s="16"/>
      <c r="B929" s="16"/>
      <c r="C929" s="16"/>
      <c r="D929" s="16"/>
      <c r="E929" s="16"/>
      <c r="F929" s="16"/>
      <c r="G929" s="16"/>
      <c r="H929" s="16"/>
    </row>
    <row r="930" spans="1:8" ht="12.5">
      <c r="A930" s="16"/>
      <c r="B930" s="16"/>
      <c r="C930" s="16"/>
      <c r="D930" s="16"/>
      <c r="E930" s="16"/>
      <c r="F930" s="16"/>
      <c r="G930" s="16"/>
      <c r="H930" s="16"/>
    </row>
    <row r="931" spans="1:8" ht="12.5">
      <c r="A931" s="16"/>
      <c r="B931" s="16"/>
      <c r="C931" s="16"/>
      <c r="D931" s="16"/>
      <c r="E931" s="16"/>
      <c r="F931" s="16"/>
      <c r="G931" s="16"/>
      <c r="H931" s="16"/>
    </row>
    <row r="932" spans="1:8" ht="12.5">
      <c r="A932" s="16"/>
      <c r="B932" s="16"/>
      <c r="C932" s="16"/>
      <c r="D932" s="16"/>
      <c r="E932" s="16"/>
      <c r="F932" s="16"/>
      <c r="G932" s="16"/>
      <c r="H932" s="16"/>
    </row>
    <row r="933" spans="1:8" ht="12.5">
      <c r="A933" s="16"/>
      <c r="B933" s="16"/>
      <c r="C933" s="16"/>
      <c r="D933" s="16"/>
      <c r="E933" s="16"/>
      <c r="F933" s="16"/>
      <c r="G933" s="16"/>
      <c r="H933" s="16"/>
    </row>
    <row r="934" spans="1:8" ht="12.5">
      <c r="A934" s="16"/>
      <c r="B934" s="16"/>
      <c r="C934" s="16"/>
      <c r="D934" s="16"/>
      <c r="E934" s="16"/>
      <c r="F934" s="16"/>
      <c r="G934" s="16"/>
      <c r="H934" s="16"/>
    </row>
    <row r="935" spans="1:8" ht="12.5">
      <c r="A935" s="16"/>
      <c r="B935" s="16"/>
      <c r="C935" s="16"/>
      <c r="D935" s="16"/>
      <c r="E935" s="16"/>
      <c r="F935" s="16"/>
      <c r="G935" s="16"/>
      <c r="H935" s="16"/>
    </row>
    <row r="936" spans="1:8" ht="12.5">
      <c r="A936" s="16"/>
      <c r="B936" s="16"/>
      <c r="C936" s="16"/>
      <c r="D936" s="16"/>
      <c r="E936" s="16"/>
      <c r="F936" s="16"/>
      <c r="G936" s="16"/>
      <c r="H936" s="16"/>
    </row>
    <row r="937" spans="1:8" ht="12.5">
      <c r="A937" s="16"/>
      <c r="B937" s="16"/>
      <c r="C937" s="16"/>
      <c r="D937" s="16"/>
      <c r="E937" s="16"/>
      <c r="F937" s="16"/>
      <c r="G937" s="16"/>
      <c r="H937" s="16"/>
    </row>
    <row r="938" spans="1:8" ht="12.5">
      <c r="A938" s="16"/>
      <c r="B938" s="16"/>
      <c r="C938" s="16"/>
      <c r="D938" s="16"/>
      <c r="E938" s="16"/>
      <c r="F938" s="16"/>
      <c r="G938" s="16"/>
      <c r="H938" s="16"/>
    </row>
    <row r="939" spans="1:8" ht="12.5">
      <c r="A939" s="16"/>
      <c r="B939" s="16"/>
      <c r="C939" s="16"/>
      <c r="D939" s="16"/>
      <c r="E939" s="16"/>
      <c r="F939" s="16"/>
      <c r="G939" s="16"/>
      <c r="H939" s="16"/>
    </row>
    <row r="940" spans="1:8" ht="12.5">
      <c r="A940" s="16"/>
      <c r="B940" s="16"/>
      <c r="C940" s="16"/>
      <c r="D940" s="16"/>
      <c r="E940" s="16"/>
      <c r="F940" s="16"/>
      <c r="G940" s="16"/>
      <c r="H940" s="16"/>
    </row>
    <row r="941" spans="1:8" ht="12.5">
      <c r="A941" s="16"/>
      <c r="B941" s="16"/>
      <c r="C941" s="16"/>
      <c r="D941" s="16"/>
      <c r="E941" s="16"/>
      <c r="F941" s="16"/>
      <c r="G941" s="16"/>
      <c r="H941" s="16"/>
    </row>
    <row r="942" spans="1:8" ht="12.5">
      <c r="A942" s="16"/>
      <c r="B942" s="16"/>
      <c r="C942" s="16"/>
      <c r="D942" s="16"/>
      <c r="E942" s="16"/>
      <c r="F942" s="16"/>
      <c r="G942" s="16"/>
      <c r="H942" s="16"/>
    </row>
    <row r="943" spans="1:8" ht="12.5">
      <c r="A943" s="16"/>
      <c r="B943" s="16"/>
      <c r="C943" s="16"/>
      <c r="D943" s="16"/>
      <c r="E943" s="16"/>
      <c r="F943" s="16"/>
      <c r="G943" s="16"/>
      <c r="H943" s="16"/>
    </row>
    <row r="944" spans="1:8" ht="12.5">
      <c r="A944" s="16"/>
      <c r="B944" s="16"/>
      <c r="C944" s="16"/>
      <c r="D944" s="16"/>
      <c r="E944" s="16"/>
      <c r="F944" s="16"/>
      <c r="G944" s="16"/>
      <c r="H944" s="16"/>
    </row>
    <row r="945" spans="1:8" ht="12.5">
      <c r="A945" s="16"/>
      <c r="B945" s="16"/>
      <c r="C945" s="16"/>
      <c r="D945" s="16"/>
      <c r="E945" s="16"/>
      <c r="F945" s="16"/>
      <c r="G945" s="16"/>
      <c r="H945" s="16"/>
    </row>
    <row r="946" spans="1:8" ht="12.5">
      <c r="A946" s="16"/>
      <c r="B946" s="16"/>
      <c r="C946" s="16"/>
      <c r="D946" s="16"/>
      <c r="E946" s="16"/>
      <c r="F946" s="16"/>
      <c r="G946" s="16"/>
      <c r="H946" s="16"/>
    </row>
    <row r="947" spans="1:8" ht="12.5">
      <c r="A947" s="16"/>
      <c r="B947" s="16"/>
      <c r="C947" s="16"/>
      <c r="D947" s="16"/>
      <c r="E947" s="16"/>
      <c r="F947" s="16"/>
      <c r="G947" s="16"/>
      <c r="H947" s="16"/>
    </row>
    <row r="948" spans="1:8" ht="12.5">
      <c r="A948" s="16"/>
      <c r="B948" s="16"/>
      <c r="C948" s="16"/>
      <c r="D948" s="16"/>
      <c r="E948" s="16"/>
      <c r="F948" s="16"/>
      <c r="G948" s="16"/>
      <c r="H948" s="16"/>
    </row>
    <row r="949" spans="1:8" ht="12.5">
      <c r="A949" s="16"/>
      <c r="B949" s="16"/>
      <c r="C949" s="16"/>
      <c r="D949" s="16"/>
      <c r="E949" s="16"/>
      <c r="F949" s="16"/>
      <c r="G949" s="16"/>
      <c r="H949" s="16"/>
    </row>
    <row r="950" spans="1:8" ht="12.5">
      <c r="A950" s="16"/>
      <c r="B950" s="16"/>
      <c r="C950" s="16"/>
      <c r="D950" s="16"/>
      <c r="E950" s="16"/>
      <c r="F950" s="16"/>
      <c r="G950" s="16"/>
      <c r="H950" s="16"/>
    </row>
    <row r="951" spans="1:8" ht="12.5">
      <c r="A951" s="16"/>
      <c r="B951" s="16"/>
      <c r="C951" s="16"/>
      <c r="D951" s="16"/>
      <c r="E951" s="16"/>
      <c r="F951" s="16"/>
      <c r="G951" s="16"/>
      <c r="H951" s="16"/>
    </row>
    <row r="952" spans="1:8" ht="12.5">
      <c r="A952" s="16"/>
      <c r="B952" s="16"/>
      <c r="C952" s="16"/>
      <c r="D952" s="16"/>
      <c r="E952" s="16"/>
      <c r="F952" s="16"/>
      <c r="G952" s="16"/>
      <c r="H952" s="16"/>
    </row>
    <row r="953" spans="1:8" ht="12.5">
      <c r="A953" s="16"/>
      <c r="B953" s="16"/>
      <c r="C953" s="16"/>
      <c r="D953" s="16"/>
      <c r="E953" s="16"/>
      <c r="F953" s="16"/>
      <c r="G953" s="16"/>
      <c r="H953" s="16"/>
    </row>
    <row r="954" spans="1:8" ht="12.5">
      <c r="A954" s="16"/>
      <c r="B954" s="16"/>
      <c r="C954" s="16"/>
      <c r="D954" s="16"/>
      <c r="E954" s="16"/>
      <c r="F954" s="16"/>
      <c r="G954" s="16"/>
      <c r="H954" s="16"/>
    </row>
    <row r="955" spans="1:8" ht="12.5">
      <c r="A955" s="16"/>
      <c r="B955" s="16"/>
      <c r="C955" s="16"/>
      <c r="D955" s="16"/>
      <c r="E955" s="16"/>
      <c r="F955" s="16"/>
      <c r="G955" s="16"/>
      <c r="H955" s="16"/>
    </row>
    <row r="956" spans="1:8" ht="12.5">
      <c r="A956" s="16"/>
      <c r="B956" s="16"/>
      <c r="C956" s="16"/>
      <c r="D956" s="16"/>
      <c r="E956" s="16"/>
      <c r="F956" s="16"/>
      <c r="G956" s="16"/>
      <c r="H956" s="16"/>
    </row>
    <row r="957" spans="1:8" ht="12.5">
      <c r="A957" s="16"/>
      <c r="B957" s="16"/>
      <c r="C957" s="16"/>
      <c r="D957" s="16"/>
      <c r="E957" s="16"/>
      <c r="F957" s="16"/>
      <c r="G957" s="16"/>
      <c r="H957" s="16"/>
    </row>
    <row r="958" spans="1:8" ht="12.5">
      <c r="A958" s="16"/>
      <c r="B958" s="16"/>
      <c r="C958" s="16"/>
      <c r="D958" s="16"/>
      <c r="E958" s="16"/>
      <c r="F958" s="16"/>
      <c r="G958" s="16"/>
      <c r="H958" s="16"/>
    </row>
    <row r="959" spans="1:8" ht="12.5">
      <c r="A959" s="16"/>
      <c r="B959" s="16"/>
      <c r="C959" s="16"/>
      <c r="D959" s="16"/>
      <c r="E959" s="16"/>
      <c r="F959" s="16"/>
      <c r="G959" s="16"/>
      <c r="H959" s="16"/>
    </row>
    <row r="960" spans="1:8" ht="12.5">
      <c r="A960" s="16"/>
      <c r="B960" s="16"/>
      <c r="C960" s="16"/>
      <c r="D960" s="16"/>
      <c r="E960" s="16"/>
      <c r="F960" s="16"/>
      <c r="G960" s="16"/>
      <c r="H960" s="16"/>
    </row>
    <row r="961" spans="1:8" ht="12.5">
      <c r="A961" s="16"/>
      <c r="B961" s="16"/>
      <c r="C961" s="16"/>
      <c r="D961" s="16"/>
      <c r="E961" s="16"/>
      <c r="F961" s="16"/>
      <c r="G961" s="16"/>
      <c r="H961" s="16"/>
    </row>
    <row r="962" spans="1:8" ht="12.5">
      <c r="A962" s="16"/>
      <c r="B962" s="16"/>
      <c r="C962" s="16"/>
      <c r="D962" s="16"/>
      <c r="E962" s="16"/>
      <c r="F962" s="16"/>
      <c r="G962" s="16"/>
      <c r="H962" s="16"/>
    </row>
    <row r="963" spans="1:8" ht="12.5">
      <c r="A963" s="16"/>
      <c r="B963" s="16"/>
      <c r="C963" s="16"/>
      <c r="D963" s="16"/>
      <c r="E963" s="16"/>
      <c r="F963" s="16"/>
      <c r="G963" s="16"/>
      <c r="H963" s="16"/>
    </row>
    <row r="964" spans="1:8" ht="12.5">
      <c r="A964" s="16"/>
      <c r="B964" s="16"/>
      <c r="C964" s="16"/>
      <c r="D964" s="16"/>
      <c r="E964" s="16"/>
      <c r="F964" s="16"/>
      <c r="G964" s="16"/>
      <c r="H964" s="16"/>
    </row>
    <row r="965" spans="1:8" ht="12.5">
      <c r="A965" s="16"/>
      <c r="B965" s="16"/>
      <c r="C965" s="16"/>
      <c r="D965" s="16"/>
      <c r="E965" s="16"/>
      <c r="F965" s="16"/>
      <c r="G965" s="16"/>
      <c r="H965" s="16"/>
    </row>
    <row r="966" spans="1:8" ht="12.5">
      <c r="A966" s="16"/>
      <c r="B966" s="16"/>
      <c r="C966" s="16"/>
      <c r="D966" s="16"/>
      <c r="E966" s="16"/>
      <c r="F966" s="16"/>
      <c r="G966" s="16"/>
      <c r="H966" s="16"/>
    </row>
    <row r="967" spans="1:8" ht="12.5">
      <c r="A967" s="16"/>
      <c r="B967" s="16"/>
      <c r="C967" s="16"/>
      <c r="D967" s="16"/>
      <c r="E967" s="16"/>
      <c r="F967" s="16"/>
      <c r="G967" s="16"/>
      <c r="H967" s="16"/>
    </row>
    <row r="968" spans="1:8" ht="12.5">
      <c r="A968" s="16"/>
      <c r="B968" s="16"/>
      <c r="C968" s="16"/>
      <c r="D968" s="16"/>
      <c r="E968" s="16"/>
      <c r="F968" s="16"/>
      <c r="G968" s="16"/>
      <c r="H968" s="16"/>
    </row>
    <row r="969" spans="1:8" ht="12.5">
      <c r="A969" s="16"/>
      <c r="B969" s="16"/>
      <c r="C969" s="16"/>
      <c r="D969" s="16"/>
      <c r="E969" s="16"/>
      <c r="F969" s="16"/>
      <c r="G969" s="16"/>
      <c r="H969" s="16"/>
    </row>
    <row r="970" spans="1:8" ht="12.5">
      <c r="A970" s="16"/>
      <c r="B970" s="16"/>
      <c r="C970" s="16"/>
      <c r="D970" s="16"/>
      <c r="E970" s="16"/>
      <c r="F970" s="16"/>
      <c r="G970" s="16"/>
      <c r="H970" s="16"/>
    </row>
    <row r="971" spans="1:8" ht="12.5">
      <c r="A971" s="16"/>
      <c r="B971" s="16"/>
      <c r="C971" s="16"/>
      <c r="D971" s="16"/>
      <c r="E971" s="16"/>
      <c r="F971" s="16"/>
      <c r="G971" s="16"/>
      <c r="H971" s="16"/>
    </row>
    <row r="972" spans="1:8" ht="12.5">
      <c r="A972" s="16"/>
      <c r="B972" s="16"/>
      <c r="C972" s="16"/>
      <c r="D972" s="16"/>
      <c r="E972" s="16"/>
      <c r="F972" s="16"/>
      <c r="G972" s="16"/>
      <c r="H972" s="16"/>
    </row>
    <row r="973" spans="1:8" ht="12.5">
      <c r="A973" s="16"/>
      <c r="B973" s="16"/>
      <c r="C973" s="16"/>
      <c r="D973" s="16"/>
      <c r="E973" s="16"/>
      <c r="F973" s="16"/>
      <c r="G973" s="16"/>
      <c r="H973" s="16"/>
    </row>
    <row r="974" spans="1:8" ht="12.5">
      <c r="A974" s="16"/>
      <c r="B974" s="16"/>
      <c r="C974" s="16"/>
      <c r="D974" s="16"/>
      <c r="E974" s="16"/>
      <c r="F974" s="16"/>
      <c r="G974" s="16"/>
      <c r="H974" s="16"/>
    </row>
    <row r="975" spans="1:8" ht="12.5">
      <c r="A975" s="16"/>
      <c r="B975" s="16"/>
      <c r="C975" s="16"/>
      <c r="D975" s="16"/>
      <c r="E975" s="16"/>
      <c r="F975" s="16"/>
      <c r="G975" s="16"/>
      <c r="H975" s="16"/>
    </row>
    <row r="976" spans="1:8" ht="12.5">
      <c r="A976" s="16"/>
      <c r="B976" s="16"/>
      <c r="C976" s="16"/>
      <c r="D976" s="16"/>
      <c r="E976" s="16"/>
      <c r="F976" s="16"/>
      <c r="G976" s="16"/>
      <c r="H976" s="16"/>
    </row>
    <row r="977" spans="1:8" ht="12.5">
      <c r="A977" s="16"/>
      <c r="B977" s="16"/>
      <c r="C977" s="16"/>
      <c r="D977" s="16"/>
      <c r="E977" s="16"/>
      <c r="F977" s="16"/>
      <c r="G977" s="16"/>
      <c r="H977" s="16"/>
    </row>
    <row r="978" spans="1:8" ht="12.5">
      <c r="A978" s="16"/>
      <c r="B978" s="16"/>
      <c r="C978" s="16"/>
      <c r="D978" s="16"/>
      <c r="E978" s="16"/>
      <c r="F978" s="16"/>
      <c r="G978" s="16"/>
      <c r="H978" s="16"/>
    </row>
    <row r="979" spans="1:8" ht="12.5">
      <c r="A979" s="16"/>
      <c r="B979" s="16"/>
      <c r="C979" s="16"/>
      <c r="D979" s="16"/>
      <c r="E979" s="16"/>
      <c r="F979" s="16"/>
      <c r="G979" s="16"/>
      <c r="H979" s="16"/>
    </row>
    <row r="980" spans="1:8" ht="12.5">
      <c r="A980" s="16"/>
      <c r="B980" s="16"/>
      <c r="C980" s="16"/>
      <c r="D980" s="16"/>
      <c r="E980" s="16"/>
      <c r="F980" s="16"/>
      <c r="G980" s="16"/>
      <c r="H980" s="16"/>
    </row>
    <row r="981" spans="1:8" ht="12.5">
      <c r="A981" s="16"/>
      <c r="B981" s="16"/>
      <c r="C981" s="16"/>
      <c r="D981" s="16"/>
      <c r="E981" s="16"/>
      <c r="F981" s="16"/>
      <c r="G981" s="16"/>
      <c r="H981" s="16"/>
    </row>
    <row r="982" spans="1:8" ht="12.5">
      <c r="A982" s="16"/>
      <c r="B982" s="16"/>
      <c r="C982" s="16"/>
      <c r="D982" s="16"/>
      <c r="E982" s="16"/>
      <c r="F982" s="16"/>
      <c r="G982" s="16"/>
      <c r="H982" s="16"/>
    </row>
    <row r="983" spans="1:8" ht="12.5">
      <c r="A983" s="16"/>
      <c r="B983" s="16"/>
      <c r="C983" s="16"/>
      <c r="D983" s="16"/>
      <c r="E983" s="16"/>
      <c r="F983" s="16"/>
      <c r="G983" s="16"/>
      <c r="H983" s="16"/>
    </row>
    <row r="984" spans="1:8" ht="12.5">
      <c r="A984" s="16"/>
      <c r="B984" s="16"/>
      <c r="C984" s="16"/>
      <c r="D984" s="16"/>
      <c r="E984" s="16"/>
      <c r="F984" s="16"/>
      <c r="G984" s="16"/>
      <c r="H984" s="16"/>
    </row>
    <row r="985" spans="1:8" ht="12.5">
      <c r="A985" s="16"/>
      <c r="B985" s="16"/>
      <c r="C985" s="16"/>
      <c r="D985" s="16"/>
      <c r="E985" s="16"/>
      <c r="F985" s="16"/>
      <c r="G985" s="16"/>
      <c r="H985" s="16"/>
    </row>
    <row r="986" spans="1:8" ht="12.5">
      <c r="A986" s="16"/>
      <c r="B986" s="16"/>
      <c r="C986" s="16"/>
      <c r="D986" s="16"/>
      <c r="E986" s="16"/>
      <c r="F986" s="16"/>
      <c r="G986" s="16"/>
      <c r="H986" s="16"/>
    </row>
    <row r="987" spans="1:8" ht="12.5">
      <c r="A987" s="16"/>
      <c r="B987" s="16"/>
      <c r="C987" s="16"/>
      <c r="D987" s="16"/>
      <c r="E987" s="16"/>
      <c r="F987" s="16"/>
      <c r="G987" s="16"/>
      <c r="H987" s="16"/>
    </row>
    <row r="988" spans="1:8" ht="12.5">
      <c r="A988" s="16"/>
      <c r="B988" s="16"/>
      <c r="C988" s="16"/>
      <c r="D988" s="16"/>
      <c r="E988" s="16"/>
      <c r="F988" s="16"/>
      <c r="G988" s="16"/>
      <c r="H988" s="16"/>
    </row>
    <row r="989" spans="1:8" ht="12.5">
      <c r="A989" s="16"/>
      <c r="B989" s="16"/>
      <c r="C989" s="16"/>
      <c r="D989" s="16"/>
      <c r="E989" s="16"/>
      <c r="F989" s="16"/>
      <c r="G989" s="16"/>
      <c r="H989" s="16"/>
    </row>
    <row r="990" spans="1:8" ht="12.5">
      <c r="A990" s="16"/>
      <c r="B990" s="16"/>
      <c r="C990" s="16"/>
      <c r="D990" s="16"/>
      <c r="E990" s="16"/>
      <c r="F990" s="16"/>
      <c r="G990" s="16"/>
      <c r="H990" s="16"/>
    </row>
    <row r="991" spans="1:8" ht="12.5">
      <c r="A991" s="16"/>
      <c r="B991" s="16"/>
      <c r="C991" s="16"/>
      <c r="D991" s="16"/>
      <c r="E991" s="16"/>
      <c r="F991" s="16"/>
      <c r="G991" s="16"/>
      <c r="H991" s="16"/>
    </row>
    <row r="992" spans="1:8" ht="12.5">
      <c r="A992" s="16"/>
      <c r="B992" s="16"/>
      <c r="C992" s="16"/>
      <c r="D992" s="16"/>
      <c r="E992" s="16"/>
      <c r="F992" s="16"/>
      <c r="G992" s="16"/>
      <c r="H992" s="16"/>
    </row>
    <row r="993" spans="1:8" ht="12.5">
      <c r="A993" s="16"/>
      <c r="B993" s="16"/>
      <c r="C993" s="16"/>
      <c r="D993" s="16"/>
      <c r="E993" s="16"/>
      <c r="F993" s="16"/>
      <c r="G993" s="16"/>
      <c r="H993" s="16"/>
    </row>
    <row r="994" spans="1:8" ht="12.5">
      <c r="A994" s="16"/>
      <c r="B994" s="16"/>
      <c r="C994" s="16"/>
      <c r="D994" s="16"/>
      <c r="E994" s="16"/>
      <c r="F994" s="16"/>
      <c r="G994" s="16"/>
      <c r="H994" s="16"/>
    </row>
    <row r="995" spans="1:8" ht="12.5">
      <c r="A995" s="16"/>
      <c r="B995" s="16"/>
      <c r="C995" s="16"/>
      <c r="D995" s="16"/>
      <c r="E995" s="16"/>
      <c r="F995" s="16"/>
      <c r="G995" s="16"/>
      <c r="H995" s="16"/>
    </row>
    <row r="996" spans="1:8" ht="12.5">
      <c r="A996" s="16"/>
      <c r="B996" s="16"/>
      <c r="C996" s="16"/>
      <c r="D996" s="16"/>
      <c r="E996" s="16"/>
      <c r="F996" s="16"/>
      <c r="G996" s="16"/>
      <c r="H996" s="16"/>
    </row>
    <row r="997" spans="1:8" ht="12.5">
      <c r="A997" s="16"/>
      <c r="B997" s="16"/>
      <c r="C997" s="16"/>
      <c r="D997" s="16"/>
      <c r="E997" s="16"/>
      <c r="F997" s="16"/>
      <c r="G997" s="16"/>
      <c r="H997" s="16"/>
    </row>
    <row r="998" spans="1:8" ht="12.5">
      <c r="A998" s="16"/>
      <c r="B998" s="16"/>
      <c r="C998" s="16"/>
      <c r="D998" s="16"/>
      <c r="E998" s="16"/>
      <c r="F998" s="16"/>
      <c r="G998" s="16"/>
      <c r="H998" s="16"/>
    </row>
    <row r="999" spans="1:8" ht="12.5">
      <c r="A999" s="16"/>
      <c r="B999" s="16"/>
      <c r="C999" s="16"/>
      <c r="D999" s="16"/>
      <c r="E999" s="16"/>
      <c r="F999" s="16"/>
      <c r="G999" s="16"/>
      <c r="H999" s="16"/>
    </row>
    <row r="1000" spans="1:8" ht="12.5">
      <c r="A1000" s="16"/>
      <c r="B1000" s="16"/>
      <c r="C1000" s="16"/>
      <c r="D1000" s="16"/>
      <c r="E1000" s="16"/>
      <c r="F1000" s="16"/>
      <c r="G1000" s="16"/>
      <c r="H1000" s="16"/>
    </row>
  </sheetData>
  <autoFilter ref="A1:H1" xr:uid="{00000000-0001-0000-0200-000000000000}"/>
  <hyperlinks>
    <hyperlink ref="G45" r:id="rId1" xr:uid="{00000000-0004-0000-0200-000000000000}"/>
    <hyperlink ref="G48" r:id="rId2" xr:uid="{00000000-0004-0000-0200-000001000000}"/>
    <hyperlink ref="G58" r:id="rId3" xr:uid="{00000000-0004-0000-0200-000002000000}"/>
    <hyperlink ref="H60" r:id="rId4" xr:uid="{00000000-0004-0000-0200-000003000000}"/>
    <hyperlink ref="G97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>
      <selection activeCell="H1" sqref="H1"/>
    </sheetView>
  </sheetViews>
  <sheetFormatPr defaultColWidth="12.6328125" defaultRowHeight="15.75" customHeight="1"/>
  <cols>
    <col min="2" max="3" width="11.08984375" customWidth="1"/>
    <col min="5" max="5" width="27.36328125" customWidth="1"/>
    <col min="7" max="7" width="21" customWidth="1"/>
  </cols>
  <sheetData>
    <row r="1" spans="1:13" ht="26">
      <c r="A1" s="17" t="s">
        <v>1485</v>
      </c>
      <c r="B1" s="17" t="s">
        <v>1486</v>
      </c>
      <c r="C1" s="17" t="s">
        <v>4391</v>
      </c>
      <c r="D1" s="17" t="s">
        <v>1487</v>
      </c>
      <c r="E1" s="17" t="s">
        <v>4815</v>
      </c>
      <c r="F1" s="17" t="s">
        <v>327</v>
      </c>
      <c r="G1" s="17" t="s">
        <v>4389</v>
      </c>
      <c r="H1" s="17" t="s">
        <v>4390</v>
      </c>
      <c r="I1" s="14"/>
      <c r="J1" s="14"/>
      <c r="K1" s="14"/>
      <c r="L1" s="14"/>
      <c r="M1" s="14"/>
    </row>
    <row r="2" spans="1:13" ht="15.75" customHeight="1">
      <c r="A2" s="19" t="s">
        <v>1488</v>
      </c>
      <c r="B2" s="19" t="s">
        <v>842</v>
      </c>
      <c r="C2" s="19" t="str">
        <f>_xlfn.CONCAT(A2," ",B2)</f>
        <v>MWZ NA</v>
      </c>
      <c r="D2" s="19" t="s">
        <v>1489</v>
      </c>
      <c r="E2" s="19" t="s">
        <v>1490</v>
      </c>
      <c r="F2" s="19" t="s">
        <v>1491</v>
      </c>
      <c r="G2" s="19" t="s">
        <v>1492</v>
      </c>
      <c r="H2" s="19">
        <v>90606375</v>
      </c>
      <c r="I2" s="14"/>
      <c r="J2" s="14"/>
      <c r="K2" s="14"/>
      <c r="L2" s="14"/>
      <c r="M2" s="14"/>
    </row>
    <row r="3" spans="1:13" ht="15.75" customHeight="1">
      <c r="A3" s="19" t="s">
        <v>821</v>
      </c>
      <c r="B3" s="19" t="s">
        <v>842</v>
      </c>
      <c r="C3" s="19" t="str">
        <f t="shared" ref="C3:C66" si="0">_xlfn.CONCAT(A3," ",B3)</f>
        <v>Lee NA</v>
      </c>
      <c r="D3" s="19" t="s">
        <v>1489</v>
      </c>
      <c r="E3" s="19" t="s">
        <v>1494</v>
      </c>
      <c r="F3" s="19" t="s">
        <v>1491</v>
      </c>
      <c r="G3" s="19" t="s">
        <v>1493</v>
      </c>
      <c r="H3" s="19">
        <v>97566969</v>
      </c>
      <c r="I3" s="14"/>
      <c r="J3" s="14"/>
      <c r="K3" s="14"/>
      <c r="L3" s="14"/>
      <c r="M3" s="14"/>
    </row>
    <row r="4" spans="1:13" ht="15.75" customHeight="1">
      <c r="A4" s="19" t="s">
        <v>4395</v>
      </c>
      <c r="B4" s="19" t="s">
        <v>4566</v>
      </c>
      <c r="C4" s="19" t="str">
        <f t="shared" si="0"/>
        <v>Prakash Chintilla</v>
      </c>
      <c r="D4" s="19" t="s">
        <v>1489</v>
      </c>
      <c r="E4" s="19" t="s">
        <v>1495</v>
      </c>
      <c r="F4" s="19" t="s">
        <v>1491</v>
      </c>
      <c r="G4" s="19" t="s">
        <v>1496</v>
      </c>
      <c r="H4" s="19" t="s">
        <v>1493</v>
      </c>
      <c r="I4" s="14"/>
      <c r="J4" s="14"/>
      <c r="K4" s="14"/>
      <c r="L4" s="14"/>
      <c r="M4" s="14"/>
    </row>
    <row r="5" spans="1:13" ht="15.75" customHeight="1">
      <c r="A5" s="19" t="s">
        <v>1497</v>
      </c>
      <c r="B5" s="19" t="s">
        <v>4567</v>
      </c>
      <c r="C5" s="19" t="str">
        <f t="shared" si="0"/>
        <v>Valerie Lieu</v>
      </c>
      <c r="D5" s="19" t="s">
        <v>1489</v>
      </c>
      <c r="E5" s="19" t="s">
        <v>1498</v>
      </c>
      <c r="F5" s="19" t="s">
        <v>1491</v>
      </c>
      <c r="G5" s="19" t="s">
        <v>1499</v>
      </c>
      <c r="H5" s="19" t="s">
        <v>1500</v>
      </c>
      <c r="I5" s="14"/>
      <c r="J5" s="14"/>
      <c r="K5" s="14"/>
      <c r="L5" s="14"/>
      <c r="M5" s="14"/>
    </row>
    <row r="6" spans="1:13" ht="15.75" customHeight="1">
      <c r="A6" s="19" t="s">
        <v>3324</v>
      </c>
      <c r="B6" s="19" t="s">
        <v>667</v>
      </c>
      <c r="C6" s="19" t="str">
        <f t="shared" si="0"/>
        <v>Roger Soh</v>
      </c>
      <c r="D6" s="19" t="s">
        <v>1489</v>
      </c>
      <c r="E6" s="19" t="s">
        <v>1501</v>
      </c>
      <c r="F6" s="19" t="s">
        <v>1491</v>
      </c>
      <c r="G6" s="19" t="s">
        <v>1502</v>
      </c>
      <c r="H6" s="19">
        <v>87773180</v>
      </c>
      <c r="I6" s="14"/>
      <c r="J6" s="14"/>
      <c r="K6" s="14"/>
      <c r="L6" s="14"/>
      <c r="M6" s="14"/>
    </row>
    <row r="7" spans="1:13" ht="15.75" customHeight="1">
      <c r="A7" s="19" t="s">
        <v>1503</v>
      </c>
      <c r="B7" s="19" t="s">
        <v>1503</v>
      </c>
      <c r="C7" s="19" t="str">
        <f t="shared" si="0"/>
        <v>- -</v>
      </c>
      <c r="D7" s="19" t="s">
        <v>1489</v>
      </c>
      <c r="E7" s="19" t="s">
        <v>1504</v>
      </c>
      <c r="F7" s="19" t="s">
        <v>1491</v>
      </c>
      <c r="G7" s="19" t="s">
        <v>1493</v>
      </c>
      <c r="H7" s="19">
        <v>93741967</v>
      </c>
      <c r="I7" s="14"/>
      <c r="J7" s="14"/>
      <c r="K7" s="14"/>
      <c r="L7" s="14"/>
      <c r="M7" s="14"/>
    </row>
    <row r="8" spans="1:13" ht="15.75" customHeight="1">
      <c r="A8" s="19" t="s">
        <v>821</v>
      </c>
      <c r="B8" s="19" t="s">
        <v>1503</v>
      </c>
      <c r="C8" s="19" t="str">
        <f t="shared" si="0"/>
        <v>Lee -</v>
      </c>
      <c r="D8" s="19" t="s">
        <v>1489</v>
      </c>
      <c r="E8" s="19" t="s">
        <v>1505</v>
      </c>
      <c r="F8" s="19" t="s">
        <v>1491</v>
      </c>
      <c r="G8" s="19" t="s">
        <v>1506</v>
      </c>
      <c r="H8" s="19">
        <v>66554549</v>
      </c>
      <c r="I8" s="14"/>
      <c r="J8" s="14"/>
      <c r="K8" s="14"/>
      <c r="L8" s="14"/>
      <c r="M8" s="14"/>
    </row>
    <row r="9" spans="1:13" ht="15.75" customHeight="1">
      <c r="A9" s="19" t="s">
        <v>842</v>
      </c>
      <c r="B9" s="19" t="s">
        <v>1503</v>
      </c>
      <c r="C9" s="19" t="str">
        <f t="shared" si="0"/>
        <v>NA -</v>
      </c>
      <c r="D9" s="19" t="s">
        <v>1489</v>
      </c>
      <c r="E9" s="19" t="s">
        <v>1507</v>
      </c>
      <c r="F9" s="19" t="s">
        <v>1491</v>
      </c>
      <c r="G9" s="19" t="s">
        <v>1493</v>
      </c>
      <c r="H9" s="19">
        <v>81128826</v>
      </c>
      <c r="I9" s="14"/>
      <c r="J9" s="14"/>
      <c r="K9" s="14"/>
      <c r="L9" s="14"/>
      <c r="M9" s="14"/>
    </row>
    <row r="10" spans="1:13" ht="15.75" customHeight="1">
      <c r="A10" s="19" t="s">
        <v>4396</v>
      </c>
      <c r="B10" s="19" t="s">
        <v>4568</v>
      </c>
      <c r="C10" s="19" t="str">
        <f t="shared" si="0"/>
        <v>Arun Paul</v>
      </c>
      <c r="D10" s="19" t="s">
        <v>1489</v>
      </c>
      <c r="E10" s="19" t="s">
        <v>1508</v>
      </c>
      <c r="F10" s="19" t="s">
        <v>1491</v>
      </c>
      <c r="G10" s="19" t="s">
        <v>1509</v>
      </c>
      <c r="H10" s="19">
        <v>89458205</v>
      </c>
      <c r="I10" s="14"/>
      <c r="J10" s="14"/>
      <c r="K10" s="14"/>
      <c r="L10" s="14"/>
      <c r="M10" s="14"/>
    </row>
    <row r="11" spans="1:13" ht="15.75" customHeight="1">
      <c r="A11" s="19" t="s">
        <v>378</v>
      </c>
      <c r="B11" s="19" t="s">
        <v>969</v>
      </c>
      <c r="C11" s="19" t="str">
        <f t="shared" si="0"/>
        <v>Kenny Leong</v>
      </c>
      <c r="D11" s="19" t="s">
        <v>1489</v>
      </c>
      <c r="E11" s="19" t="s">
        <v>1510</v>
      </c>
      <c r="F11" s="19" t="s">
        <v>1491</v>
      </c>
      <c r="G11" s="19" t="s">
        <v>1511</v>
      </c>
      <c r="H11" s="19">
        <v>93852414</v>
      </c>
      <c r="I11" s="14"/>
      <c r="J11" s="14"/>
      <c r="K11" s="14"/>
      <c r="L11" s="14"/>
      <c r="M11" s="14"/>
    </row>
    <row r="12" spans="1:13" ht="15.75" customHeight="1">
      <c r="A12" s="19" t="s">
        <v>842</v>
      </c>
      <c r="B12" s="19" t="s">
        <v>842</v>
      </c>
      <c r="C12" s="19" t="str">
        <f t="shared" si="0"/>
        <v>NA NA</v>
      </c>
      <c r="D12" s="19" t="s">
        <v>1489</v>
      </c>
      <c r="E12" s="19" t="s">
        <v>1512</v>
      </c>
      <c r="F12" s="19" t="s">
        <v>1491</v>
      </c>
      <c r="G12" s="19" t="s">
        <v>1493</v>
      </c>
      <c r="H12" s="19">
        <v>90625744</v>
      </c>
      <c r="I12" s="14"/>
      <c r="J12" s="14"/>
      <c r="K12" s="14"/>
      <c r="L12" s="14"/>
      <c r="M12" s="14"/>
    </row>
    <row r="13" spans="1:13" ht="15.75" customHeight="1">
      <c r="A13" s="19" t="s">
        <v>4397</v>
      </c>
      <c r="B13" s="19" t="s">
        <v>842</v>
      </c>
      <c r="C13" s="19" t="str">
        <f t="shared" si="0"/>
        <v>Gwern NA</v>
      </c>
      <c r="D13" s="19" t="s">
        <v>1489</v>
      </c>
      <c r="E13" s="19" t="s">
        <v>1513</v>
      </c>
      <c r="F13" s="19" t="s">
        <v>1491</v>
      </c>
      <c r="G13" s="19" t="s">
        <v>1514</v>
      </c>
      <c r="H13" s="19" t="s">
        <v>1515</v>
      </c>
      <c r="I13" s="14"/>
      <c r="J13" s="14"/>
      <c r="K13" s="14"/>
      <c r="L13" s="14"/>
      <c r="M13" s="14"/>
    </row>
    <row r="14" spans="1:13" ht="15.75" customHeight="1">
      <c r="A14" s="19" t="s">
        <v>1212</v>
      </c>
      <c r="B14" s="19" t="s">
        <v>4569</v>
      </c>
      <c r="C14" s="19" t="str">
        <f t="shared" si="0"/>
        <v>Zack Zarif</v>
      </c>
      <c r="D14" s="19" t="s">
        <v>1489</v>
      </c>
      <c r="E14" s="19" t="s">
        <v>1516</v>
      </c>
      <c r="F14" s="19" t="s">
        <v>1491</v>
      </c>
      <c r="G14" s="19" t="s">
        <v>1517</v>
      </c>
      <c r="H14" s="19">
        <v>92297626</v>
      </c>
      <c r="I14" s="14"/>
      <c r="J14" s="14"/>
      <c r="K14" s="14"/>
      <c r="L14" s="14"/>
      <c r="M14" s="14"/>
    </row>
    <row r="15" spans="1:13" ht="15.75" customHeight="1">
      <c r="A15" s="19" t="s">
        <v>3925</v>
      </c>
      <c r="B15" s="19" t="s">
        <v>482</v>
      </c>
      <c r="C15" s="19" t="str">
        <f t="shared" si="0"/>
        <v>KS Loh</v>
      </c>
      <c r="D15" s="19" t="s">
        <v>1489</v>
      </c>
      <c r="E15" s="19" t="s">
        <v>1518</v>
      </c>
      <c r="F15" s="19" t="s">
        <v>1491</v>
      </c>
      <c r="G15" s="19" t="s">
        <v>1519</v>
      </c>
      <c r="H15" s="19">
        <v>93378690</v>
      </c>
      <c r="I15" s="14"/>
      <c r="J15" s="14"/>
      <c r="K15" s="14"/>
      <c r="L15" s="14"/>
      <c r="M15" s="14"/>
    </row>
    <row r="16" spans="1:13" ht="15.75" customHeight="1">
      <c r="A16" s="19" t="s">
        <v>4398</v>
      </c>
      <c r="B16" s="19" t="s">
        <v>821</v>
      </c>
      <c r="C16" s="19" t="str">
        <f t="shared" si="0"/>
        <v>Gwendoline Lee</v>
      </c>
      <c r="D16" s="19" t="s">
        <v>1489</v>
      </c>
      <c r="E16" s="19" t="s">
        <v>1520</v>
      </c>
      <c r="F16" s="19" t="s">
        <v>1491</v>
      </c>
      <c r="G16" s="19" t="s">
        <v>1521</v>
      </c>
      <c r="H16" s="19">
        <v>97426300</v>
      </c>
      <c r="I16" s="14"/>
      <c r="J16" s="14"/>
      <c r="K16" s="14"/>
      <c r="L16" s="14"/>
      <c r="M16" s="14"/>
    </row>
    <row r="17" spans="1:13" ht="15.75" customHeight="1">
      <c r="A17" s="19" t="s">
        <v>4399</v>
      </c>
      <c r="B17" s="19" t="s">
        <v>842</v>
      </c>
      <c r="C17" s="19" t="str">
        <f t="shared" si="0"/>
        <v>Che NA</v>
      </c>
      <c r="D17" s="19" t="s">
        <v>1489</v>
      </c>
      <c r="E17" s="19" t="s">
        <v>1522</v>
      </c>
      <c r="F17" s="19" t="s">
        <v>1491</v>
      </c>
      <c r="G17" s="19" t="s">
        <v>1523</v>
      </c>
      <c r="H17" s="19">
        <v>98202602</v>
      </c>
      <c r="I17" s="14"/>
      <c r="J17" s="14"/>
      <c r="K17" s="14"/>
      <c r="L17" s="14"/>
      <c r="M17" s="14"/>
    </row>
    <row r="18" spans="1:13" ht="15.75" customHeight="1">
      <c r="A18" s="19" t="s">
        <v>842</v>
      </c>
      <c r="B18" s="19" t="s">
        <v>842</v>
      </c>
      <c r="C18" s="19" t="str">
        <f t="shared" si="0"/>
        <v>NA NA</v>
      </c>
      <c r="D18" s="19" t="s">
        <v>1489</v>
      </c>
      <c r="E18" s="19" t="s">
        <v>1512</v>
      </c>
      <c r="F18" s="19" t="s">
        <v>1491</v>
      </c>
      <c r="G18" s="19" t="s">
        <v>1493</v>
      </c>
      <c r="H18" s="19" t="s">
        <v>1524</v>
      </c>
      <c r="I18" s="14"/>
      <c r="J18" s="14"/>
      <c r="K18" s="14"/>
      <c r="L18" s="14"/>
      <c r="M18" s="14"/>
    </row>
    <row r="19" spans="1:13" ht="15.75" customHeight="1">
      <c r="A19" s="19" t="s">
        <v>4400</v>
      </c>
      <c r="B19" s="19" t="s">
        <v>842</v>
      </c>
      <c r="C19" s="19" t="str">
        <f t="shared" si="0"/>
        <v>Su Gin Kong NA</v>
      </c>
      <c r="D19" s="19" t="s">
        <v>1489</v>
      </c>
      <c r="E19" s="19" t="s">
        <v>1525</v>
      </c>
      <c r="F19" s="19" t="s">
        <v>1491</v>
      </c>
      <c r="G19" s="19" t="s">
        <v>144</v>
      </c>
      <c r="H19" s="19" t="s">
        <v>1526</v>
      </c>
      <c r="I19" s="14"/>
      <c r="J19" s="14"/>
      <c r="K19" s="14"/>
      <c r="L19" s="14"/>
      <c r="M19" s="14"/>
    </row>
    <row r="20" spans="1:13" ht="15.75" customHeight="1">
      <c r="A20" s="19" t="s">
        <v>821</v>
      </c>
      <c r="B20" s="19" t="s">
        <v>916</v>
      </c>
      <c r="C20" s="19" t="str">
        <f t="shared" si="0"/>
        <v>Lee Na</v>
      </c>
      <c r="D20" s="19" t="s">
        <v>1489</v>
      </c>
      <c r="E20" s="19" t="s">
        <v>1528</v>
      </c>
      <c r="F20" s="19" t="s">
        <v>1491</v>
      </c>
      <c r="G20" s="19" t="s">
        <v>1529</v>
      </c>
      <c r="H20" s="19" t="s">
        <v>1493</v>
      </c>
      <c r="I20" s="14"/>
      <c r="J20" s="14"/>
      <c r="K20" s="14"/>
      <c r="L20" s="14"/>
      <c r="M20" s="14"/>
    </row>
    <row r="21" spans="1:13" ht="15.75" customHeight="1">
      <c r="A21" s="19" t="s">
        <v>698</v>
      </c>
      <c r="B21" s="19" t="s">
        <v>842</v>
      </c>
      <c r="C21" s="19" t="str">
        <f t="shared" si="0"/>
        <v>Lau NA</v>
      </c>
      <c r="D21" s="19" t="s">
        <v>1489</v>
      </c>
      <c r="E21" s="19" t="s">
        <v>1512</v>
      </c>
      <c r="F21" s="19" t="s">
        <v>1491</v>
      </c>
      <c r="G21" s="19" t="s">
        <v>1493</v>
      </c>
      <c r="H21" s="19">
        <v>87210786</v>
      </c>
      <c r="I21" s="14"/>
      <c r="J21" s="14"/>
      <c r="K21" s="14"/>
      <c r="L21" s="14"/>
      <c r="M21" s="14"/>
    </row>
    <row r="22" spans="1:13" ht="15.75" customHeight="1">
      <c r="A22" s="19" t="s">
        <v>698</v>
      </c>
      <c r="B22" s="19" t="s">
        <v>842</v>
      </c>
      <c r="C22" s="19" t="str">
        <f t="shared" si="0"/>
        <v>Lau NA</v>
      </c>
      <c r="D22" s="19" t="s">
        <v>1489</v>
      </c>
      <c r="E22" s="19" t="s">
        <v>1512</v>
      </c>
      <c r="F22" s="19" t="s">
        <v>1491</v>
      </c>
      <c r="G22" s="19" t="s">
        <v>1493</v>
      </c>
      <c r="H22" s="19">
        <v>67451157</v>
      </c>
      <c r="I22" s="14"/>
      <c r="J22" s="14"/>
      <c r="K22" s="14"/>
      <c r="L22" s="14"/>
      <c r="M22" s="14"/>
    </row>
    <row r="23" spans="1:13" ht="15.75" customHeight="1">
      <c r="A23" s="19" t="s">
        <v>1530</v>
      </c>
      <c r="B23" s="19" t="s">
        <v>842</v>
      </c>
      <c r="C23" s="19" t="str">
        <f t="shared" si="0"/>
        <v>Adam NA</v>
      </c>
      <c r="D23" s="19" t="s">
        <v>1489</v>
      </c>
      <c r="E23" s="19" t="s">
        <v>1531</v>
      </c>
      <c r="F23" s="19" t="s">
        <v>1491</v>
      </c>
      <c r="G23" s="19" t="s">
        <v>1493</v>
      </c>
      <c r="H23" s="19">
        <v>87928891</v>
      </c>
      <c r="I23" s="14"/>
      <c r="J23" s="14"/>
      <c r="K23" s="14"/>
      <c r="L23" s="14"/>
      <c r="M23" s="14"/>
    </row>
    <row r="24" spans="1:13" ht="12.5">
      <c r="A24" s="19" t="s">
        <v>4401</v>
      </c>
      <c r="B24" s="19" t="s">
        <v>842</v>
      </c>
      <c r="C24" s="19" t="str">
        <f t="shared" si="0"/>
        <v>Meghan NA</v>
      </c>
      <c r="D24" s="19" t="s">
        <v>1489</v>
      </c>
      <c r="E24" s="19" t="s">
        <v>1532</v>
      </c>
      <c r="F24" s="19" t="s">
        <v>1491</v>
      </c>
      <c r="G24" s="19" t="s">
        <v>1493</v>
      </c>
      <c r="H24" s="19">
        <v>96414627</v>
      </c>
      <c r="I24" s="14"/>
      <c r="J24" s="14"/>
      <c r="K24" s="14"/>
      <c r="L24" s="14"/>
      <c r="M24" s="14"/>
    </row>
    <row r="25" spans="1:13" ht="12.5">
      <c r="A25" s="19" t="s">
        <v>472</v>
      </c>
      <c r="B25" s="19" t="s">
        <v>842</v>
      </c>
      <c r="C25" s="19" t="str">
        <f t="shared" si="0"/>
        <v>Mark NA</v>
      </c>
      <c r="D25" s="19" t="s">
        <v>1489</v>
      </c>
      <c r="E25" s="19" t="s">
        <v>1533</v>
      </c>
      <c r="F25" s="19" t="s">
        <v>1491</v>
      </c>
      <c r="G25" s="19" t="s">
        <v>1493</v>
      </c>
      <c r="H25" s="19">
        <v>90303576</v>
      </c>
      <c r="I25" s="14"/>
      <c r="J25" s="14"/>
      <c r="K25" s="14"/>
      <c r="L25" s="14"/>
      <c r="M25" s="14"/>
    </row>
    <row r="26" spans="1:13" ht="23">
      <c r="A26" s="19" t="s">
        <v>4402</v>
      </c>
      <c r="B26" s="19" t="s">
        <v>1534</v>
      </c>
      <c r="C26" s="19" t="str">
        <f t="shared" si="0"/>
        <v>Maxamillian Mepham</v>
      </c>
      <c r="D26" s="19" t="s">
        <v>1489</v>
      </c>
      <c r="E26" s="19" t="s">
        <v>1535</v>
      </c>
      <c r="F26" s="19" t="s">
        <v>1491</v>
      </c>
      <c r="G26" s="19" t="s">
        <v>1536</v>
      </c>
      <c r="H26" s="19">
        <v>83467267</v>
      </c>
      <c r="I26" s="14"/>
      <c r="J26" s="14"/>
      <c r="K26" s="14"/>
      <c r="L26" s="14"/>
      <c r="M26" s="14"/>
    </row>
    <row r="27" spans="1:13" ht="23">
      <c r="A27" s="19" t="s">
        <v>4403</v>
      </c>
      <c r="B27" s="19" t="s">
        <v>4570</v>
      </c>
      <c r="C27" s="19" t="str">
        <f t="shared" si="0"/>
        <v>Stephaine Peh</v>
      </c>
      <c r="D27" s="19" t="s">
        <v>1489</v>
      </c>
      <c r="E27" s="19" t="s">
        <v>1537</v>
      </c>
      <c r="F27" s="19" t="s">
        <v>1491</v>
      </c>
      <c r="G27" s="19" t="s">
        <v>1538</v>
      </c>
      <c r="H27" s="19">
        <v>90101667</v>
      </c>
      <c r="I27" s="14"/>
      <c r="J27" s="14"/>
      <c r="K27" s="14"/>
      <c r="L27" s="14"/>
      <c r="M27" s="14"/>
    </row>
    <row r="28" spans="1:13" ht="23">
      <c r="A28" s="19" t="s">
        <v>4404</v>
      </c>
      <c r="B28" s="19" t="s">
        <v>842</v>
      </c>
      <c r="C28" s="19" t="str">
        <f t="shared" si="0"/>
        <v>Caroline NA</v>
      </c>
      <c r="D28" s="19" t="s">
        <v>1489</v>
      </c>
      <c r="E28" s="19" t="s">
        <v>1539</v>
      </c>
      <c r="F28" s="19" t="s">
        <v>1491</v>
      </c>
      <c r="G28" s="19" t="s">
        <v>1540</v>
      </c>
      <c r="H28" s="19">
        <v>85331006</v>
      </c>
      <c r="I28" s="14"/>
      <c r="J28" s="14"/>
      <c r="K28" s="14"/>
      <c r="L28" s="14"/>
      <c r="M28" s="14"/>
    </row>
    <row r="29" spans="1:13" ht="23">
      <c r="A29" s="19" t="s">
        <v>4405</v>
      </c>
      <c r="B29" s="19" t="s">
        <v>842</v>
      </c>
      <c r="C29" s="19" t="str">
        <f t="shared" si="0"/>
        <v>Zat NA</v>
      </c>
      <c r="D29" s="19" t="s">
        <v>1489</v>
      </c>
      <c r="E29" s="19" t="s">
        <v>1541</v>
      </c>
      <c r="F29" s="19" t="s">
        <v>4</v>
      </c>
      <c r="G29" s="19" t="s">
        <v>1542</v>
      </c>
      <c r="H29" s="19" t="s">
        <v>1493</v>
      </c>
      <c r="I29" s="14"/>
      <c r="J29" s="14"/>
      <c r="K29" s="14"/>
      <c r="L29" s="14"/>
      <c r="M29" s="14"/>
    </row>
    <row r="30" spans="1:13" ht="23">
      <c r="A30" s="19" t="s">
        <v>4406</v>
      </c>
      <c r="B30" s="19" t="s">
        <v>4571</v>
      </c>
      <c r="C30" s="19" t="str">
        <f t="shared" si="0"/>
        <v>Kelvin Tan Wei man</v>
      </c>
      <c r="D30" s="19" t="s">
        <v>1489</v>
      </c>
      <c r="E30" s="19" t="s">
        <v>1543</v>
      </c>
      <c r="F30" s="19" t="s">
        <v>1491</v>
      </c>
      <c r="G30" s="19" t="s">
        <v>1544</v>
      </c>
      <c r="H30" s="19" t="s">
        <v>1545</v>
      </c>
      <c r="I30" s="14"/>
      <c r="J30" s="14"/>
      <c r="K30" s="14"/>
      <c r="L30" s="14"/>
      <c r="M30" s="14"/>
    </row>
    <row r="31" spans="1:13" ht="23">
      <c r="A31" s="19" t="s">
        <v>969</v>
      </c>
      <c r="B31" s="19" t="s">
        <v>969</v>
      </c>
      <c r="C31" s="19" t="str">
        <f t="shared" si="0"/>
        <v>Leong Leong</v>
      </c>
      <c r="D31" s="19" t="s">
        <v>1489</v>
      </c>
      <c r="E31" s="19" t="s">
        <v>1546</v>
      </c>
      <c r="F31" s="19" t="s">
        <v>1491</v>
      </c>
      <c r="G31" s="19" t="s">
        <v>1547</v>
      </c>
      <c r="H31" s="19" t="s">
        <v>1548</v>
      </c>
      <c r="I31" s="14"/>
      <c r="J31" s="14"/>
      <c r="K31" s="14"/>
      <c r="L31" s="14"/>
      <c r="M31" s="14"/>
    </row>
    <row r="32" spans="1:13" ht="12.5">
      <c r="A32" s="19" t="s">
        <v>916</v>
      </c>
      <c r="B32" s="19" t="s">
        <v>842</v>
      </c>
      <c r="C32" s="19" t="str">
        <f t="shared" si="0"/>
        <v>Na NA</v>
      </c>
      <c r="D32" s="19" t="s">
        <v>1489</v>
      </c>
      <c r="E32" s="19" t="s">
        <v>1512</v>
      </c>
      <c r="F32" s="19" t="s">
        <v>1491</v>
      </c>
      <c r="G32" s="19" t="s">
        <v>1493</v>
      </c>
      <c r="H32" s="19">
        <v>91507425</v>
      </c>
      <c r="I32" s="14"/>
      <c r="J32" s="14"/>
      <c r="K32" s="14"/>
      <c r="L32" s="14"/>
      <c r="M32" s="14"/>
    </row>
    <row r="33" spans="1:13" ht="12.5">
      <c r="A33" s="19" t="s">
        <v>3156</v>
      </c>
      <c r="B33" s="19" t="s">
        <v>938</v>
      </c>
      <c r="C33" s="19" t="str">
        <f t="shared" si="0"/>
        <v>Candra Poh</v>
      </c>
      <c r="D33" s="19" t="s">
        <v>1489</v>
      </c>
      <c r="E33" s="19" t="s">
        <v>1549</v>
      </c>
      <c r="F33" s="19" t="s">
        <v>1491</v>
      </c>
      <c r="G33" s="19" t="s">
        <v>1550</v>
      </c>
      <c r="H33" s="19">
        <v>96878535</v>
      </c>
      <c r="I33" s="14"/>
      <c r="J33" s="14"/>
      <c r="K33" s="14"/>
      <c r="L33" s="14"/>
      <c r="M33" s="14"/>
    </row>
    <row r="34" spans="1:13" ht="12.5">
      <c r="A34" s="19" t="s">
        <v>4407</v>
      </c>
      <c r="B34" s="19" t="s">
        <v>3931</v>
      </c>
      <c r="C34" s="19" t="str">
        <f t="shared" si="0"/>
        <v>Laychin Khoo</v>
      </c>
      <c r="D34" s="19" t="s">
        <v>1489</v>
      </c>
      <c r="E34" s="19" t="s">
        <v>1551</v>
      </c>
      <c r="F34" s="19" t="s">
        <v>1491</v>
      </c>
      <c r="G34" s="19" t="s">
        <v>1552</v>
      </c>
      <c r="H34" s="19">
        <v>97648903</v>
      </c>
      <c r="I34" s="14"/>
      <c r="J34" s="14"/>
      <c r="K34" s="14"/>
      <c r="L34" s="14"/>
      <c r="M34" s="14"/>
    </row>
    <row r="35" spans="1:13" ht="12.5">
      <c r="A35" s="19" t="s">
        <v>4408</v>
      </c>
      <c r="B35" s="19" t="s">
        <v>907</v>
      </c>
      <c r="C35" s="19" t="str">
        <f t="shared" si="0"/>
        <v>Maurice Goh</v>
      </c>
      <c r="D35" s="19" t="s">
        <v>1489</v>
      </c>
      <c r="E35" s="19" t="s">
        <v>1553</v>
      </c>
      <c r="F35" s="19" t="s">
        <v>1491</v>
      </c>
      <c r="G35" s="19" t="s">
        <v>1554</v>
      </c>
      <c r="H35" s="19">
        <v>90888302</v>
      </c>
      <c r="I35" s="14"/>
      <c r="J35" s="14"/>
      <c r="K35" s="14"/>
      <c r="L35" s="14"/>
      <c r="M35" s="14"/>
    </row>
    <row r="36" spans="1:13" ht="12.5">
      <c r="A36" s="19" t="s">
        <v>932</v>
      </c>
      <c r="B36" s="19" t="s">
        <v>702</v>
      </c>
      <c r="C36" s="19" t="str">
        <f t="shared" si="0"/>
        <v>Amanda Lim</v>
      </c>
      <c r="D36" s="19" t="s">
        <v>1489</v>
      </c>
      <c r="E36" s="19" t="s">
        <v>1555</v>
      </c>
      <c r="F36" s="19" t="s">
        <v>1491</v>
      </c>
      <c r="G36" s="19" t="s">
        <v>1556</v>
      </c>
      <c r="H36" s="19" t="s">
        <v>1493</v>
      </c>
      <c r="I36" s="14"/>
      <c r="J36" s="14"/>
      <c r="K36" s="14"/>
      <c r="L36" s="14"/>
      <c r="M36" s="14"/>
    </row>
    <row r="37" spans="1:13" ht="46">
      <c r="A37" s="19" t="s">
        <v>4409</v>
      </c>
      <c r="B37" s="19" t="s">
        <v>1557</v>
      </c>
      <c r="C37" s="19" t="str">
        <f t="shared" si="0"/>
        <v>Shayne Fernandez</v>
      </c>
      <c r="D37" s="19" t="s">
        <v>1489</v>
      </c>
      <c r="E37" s="19" t="s">
        <v>1558</v>
      </c>
      <c r="F37" s="19" t="s">
        <v>1491</v>
      </c>
      <c r="G37" s="19" t="s">
        <v>1559</v>
      </c>
      <c r="H37" s="19">
        <v>85565492</v>
      </c>
      <c r="I37" s="14"/>
      <c r="J37" s="14"/>
      <c r="K37" s="14"/>
      <c r="L37" s="14"/>
      <c r="M37" s="14"/>
    </row>
    <row r="38" spans="1:13" ht="34.5">
      <c r="A38" s="19" t="s">
        <v>629</v>
      </c>
      <c r="B38" s="19" t="s">
        <v>1560</v>
      </c>
      <c r="C38" s="19" t="str">
        <f t="shared" si="0"/>
        <v>Patrick Sehoo</v>
      </c>
      <c r="D38" s="19" t="s">
        <v>1489</v>
      </c>
      <c r="E38" s="19" t="s">
        <v>1561</v>
      </c>
      <c r="F38" s="19" t="s">
        <v>1491</v>
      </c>
      <c r="G38" s="19" t="s">
        <v>1562</v>
      </c>
      <c r="H38" s="19">
        <v>97393627</v>
      </c>
      <c r="I38" s="14"/>
      <c r="J38" s="14"/>
      <c r="K38" s="14"/>
      <c r="L38" s="14"/>
      <c r="M38" s="14"/>
    </row>
    <row r="39" spans="1:13" ht="12.5">
      <c r="A39" s="19" t="s">
        <v>2794</v>
      </c>
      <c r="B39" s="19" t="s">
        <v>667</v>
      </c>
      <c r="C39" s="19" t="str">
        <f t="shared" si="0"/>
        <v>Joseph Soh</v>
      </c>
      <c r="D39" s="19" t="s">
        <v>1489</v>
      </c>
      <c r="E39" s="19" t="s">
        <v>1563</v>
      </c>
      <c r="F39" s="19" t="s">
        <v>1491</v>
      </c>
      <c r="G39" s="19" t="s">
        <v>1564</v>
      </c>
      <c r="H39" s="19">
        <v>97268297</v>
      </c>
      <c r="I39" s="14"/>
      <c r="J39" s="14"/>
      <c r="K39" s="14"/>
      <c r="L39" s="14"/>
      <c r="M39" s="14"/>
    </row>
    <row r="40" spans="1:13" ht="12.5">
      <c r="A40" s="19" t="s">
        <v>842</v>
      </c>
      <c r="B40" s="19" t="s">
        <v>842</v>
      </c>
      <c r="C40" s="19" t="str">
        <f t="shared" si="0"/>
        <v>NA NA</v>
      </c>
      <c r="D40" s="19" t="s">
        <v>1489</v>
      </c>
      <c r="E40" s="19" t="s">
        <v>1565</v>
      </c>
      <c r="F40" s="19" t="s">
        <v>4</v>
      </c>
      <c r="G40" s="19" t="s">
        <v>1493</v>
      </c>
      <c r="H40" s="19">
        <v>83216771</v>
      </c>
      <c r="I40" s="14"/>
      <c r="J40" s="14"/>
      <c r="K40" s="14"/>
      <c r="L40" s="14"/>
      <c r="M40" s="14"/>
    </row>
    <row r="41" spans="1:13" ht="46">
      <c r="A41" s="19" t="s">
        <v>842</v>
      </c>
      <c r="B41" s="19" t="s">
        <v>842</v>
      </c>
      <c r="C41" s="19" t="str">
        <f t="shared" si="0"/>
        <v>NA NA</v>
      </c>
      <c r="D41" s="19" t="s">
        <v>1489</v>
      </c>
      <c r="E41" s="19" t="s">
        <v>1566</v>
      </c>
      <c r="F41" s="19" t="s">
        <v>1491</v>
      </c>
      <c r="G41" s="19" t="s">
        <v>1493</v>
      </c>
      <c r="H41" s="19" t="s">
        <v>1567</v>
      </c>
      <c r="I41" s="14"/>
      <c r="J41" s="14"/>
      <c r="K41" s="14"/>
      <c r="L41" s="14"/>
      <c r="M41" s="14"/>
    </row>
    <row r="42" spans="1:13" ht="46">
      <c r="A42" s="19" t="s">
        <v>1568</v>
      </c>
      <c r="B42" s="19" t="s">
        <v>842</v>
      </c>
      <c r="C42" s="19" t="str">
        <f t="shared" si="0"/>
        <v>Ahmad NA</v>
      </c>
      <c r="D42" s="19" t="s">
        <v>1489</v>
      </c>
      <c r="E42" s="19" t="s">
        <v>1569</v>
      </c>
      <c r="F42" s="19" t="s">
        <v>1491</v>
      </c>
      <c r="G42" s="19" t="s">
        <v>1570</v>
      </c>
      <c r="H42" s="19">
        <v>92985704</v>
      </c>
      <c r="I42" s="14"/>
      <c r="J42" s="14"/>
      <c r="K42" s="14"/>
      <c r="L42" s="14"/>
      <c r="M42" s="14"/>
    </row>
    <row r="43" spans="1:13" ht="12.5">
      <c r="A43" s="19" t="s">
        <v>4410</v>
      </c>
      <c r="B43" s="19" t="s">
        <v>4572</v>
      </c>
      <c r="C43" s="19" t="str">
        <f t="shared" si="0"/>
        <v>Mari Sabnani</v>
      </c>
      <c r="D43" s="19" t="s">
        <v>1489</v>
      </c>
      <c r="E43" s="19" t="s">
        <v>1571</v>
      </c>
      <c r="F43" s="19" t="s">
        <v>1491</v>
      </c>
      <c r="G43" s="19" t="s">
        <v>1572</v>
      </c>
      <c r="H43" s="19">
        <v>90900473</v>
      </c>
      <c r="I43" s="14"/>
      <c r="J43" s="14"/>
      <c r="K43" s="14"/>
      <c r="L43" s="14"/>
      <c r="M43" s="14"/>
    </row>
    <row r="44" spans="1:13" ht="12.5">
      <c r="A44" s="19" t="s">
        <v>1573</v>
      </c>
      <c r="B44" s="19" t="s">
        <v>4573</v>
      </c>
      <c r="C44" s="19" t="str">
        <f t="shared" si="0"/>
        <v>Afiq Sulaiman</v>
      </c>
      <c r="D44" s="19" t="s">
        <v>1489</v>
      </c>
      <c r="E44" s="19" t="s">
        <v>1574</v>
      </c>
      <c r="F44" s="19" t="s">
        <v>1491</v>
      </c>
      <c r="G44" s="19" t="s">
        <v>1575</v>
      </c>
      <c r="H44" s="19">
        <v>96512346</v>
      </c>
      <c r="I44" s="14"/>
      <c r="J44" s="14"/>
      <c r="K44" s="14"/>
      <c r="L44" s="14"/>
      <c r="M44" s="14"/>
    </row>
    <row r="45" spans="1:13" ht="12.5">
      <c r="A45" s="19" t="s">
        <v>4411</v>
      </c>
      <c r="B45" s="19" t="s">
        <v>432</v>
      </c>
      <c r="C45" s="19" t="str">
        <f t="shared" si="0"/>
        <v>Lambert Chen</v>
      </c>
      <c r="D45" s="19" t="s">
        <v>1489</v>
      </c>
      <c r="E45" s="19" t="s">
        <v>1576</v>
      </c>
      <c r="F45" s="19" t="s">
        <v>1491</v>
      </c>
      <c r="G45" s="19" t="s">
        <v>1577</v>
      </c>
      <c r="H45" s="19">
        <v>91060808</v>
      </c>
      <c r="I45" s="14"/>
      <c r="J45" s="14"/>
      <c r="K45" s="14"/>
      <c r="L45" s="14"/>
      <c r="M45" s="14"/>
    </row>
    <row r="46" spans="1:13" ht="12.5">
      <c r="A46" s="19" t="s">
        <v>842</v>
      </c>
      <c r="B46" s="19" t="s">
        <v>842</v>
      </c>
      <c r="C46" s="19" t="str">
        <f t="shared" si="0"/>
        <v>NA NA</v>
      </c>
      <c r="D46" s="19" t="s">
        <v>1489</v>
      </c>
      <c r="E46" s="19" t="s">
        <v>1578</v>
      </c>
      <c r="F46" s="19" t="s">
        <v>1491</v>
      </c>
      <c r="G46" s="19" t="s">
        <v>1493</v>
      </c>
      <c r="H46" s="19" t="s">
        <v>1579</v>
      </c>
      <c r="I46" s="14"/>
      <c r="J46" s="14"/>
      <c r="K46" s="14"/>
      <c r="L46" s="14"/>
      <c r="M46" s="14"/>
    </row>
    <row r="47" spans="1:13" ht="12.5">
      <c r="A47" s="19" t="s">
        <v>842</v>
      </c>
      <c r="B47" s="19" t="s">
        <v>842</v>
      </c>
      <c r="C47" s="19" t="str">
        <f t="shared" si="0"/>
        <v>NA NA</v>
      </c>
      <c r="D47" s="19" t="s">
        <v>1489</v>
      </c>
      <c r="E47" s="19" t="s">
        <v>1512</v>
      </c>
      <c r="F47" s="19" t="s">
        <v>1491</v>
      </c>
      <c r="G47" s="19"/>
      <c r="H47" s="19">
        <v>87541208</v>
      </c>
      <c r="I47" s="14"/>
      <c r="J47" s="14"/>
      <c r="K47" s="14"/>
      <c r="L47" s="14"/>
      <c r="M47" s="14"/>
    </row>
    <row r="48" spans="1:13" ht="12.5">
      <c r="A48" s="19" t="s">
        <v>4412</v>
      </c>
      <c r="B48" s="19" t="s">
        <v>842</v>
      </c>
      <c r="C48" s="19" t="str">
        <f t="shared" si="0"/>
        <v>Deon NA</v>
      </c>
      <c r="D48" s="19" t="s">
        <v>1489</v>
      </c>
      <c r="E48" s="19" t="s">
        <v>1580</v>
      </c>
      <c r="F48" s="19" t="s">
        <v>1491</v>
      </c>
      <c r="G48" s="19" t="s">
        <v>1581</v>
      </c>
      <c r="H48" s="19">
        <v>90177252</v>
      </c>
      <c r="I48" s="14"/>
      <c r="J48" s="14"/>
      <c r="K48" s="14"/>
      <c r="L48" s="14"/>
      <c r="M48" s="14"/>
    </row>
    <row r="49" spans="1:13" ht="12.5">
      <c r="A49" s="19" t="s">
        <v>4413</v>
      </c>
      <c r="B49" s="19" t="s">
        <v>4572</v>
      </c>
      <c r="C49" s="19" t="str">
        <f t="shared" si="0"/>
        <v>Anil Sabnani</v>
      </c>
      <c r="D49" s="19" t="s">
        <v>1489</v>
      </c>
      <c r="E49" s="19" t="s">
        <v>1582</v>
      </c>
      <c r="F49" s="19" t="s">
        <v>1491</v>
      </c>
      <c r="G49" s="19" t="s">
        <v>1583</v>
      </c>
      <c r="H49" s="19">
        <v>97331442</v>
      </c>
      <c r="I49" s="14"/>
      <c r="J49" s="14"/>
      <c r="K49" s="14"/>
      <c r="L49" s="14"/>
      <c r="M49" s="14"/>
    </row>
    <row r="50" spans="1:13" ht="12.5">
      <c r="A50" s="19" t="s">
        <v>1584</v>
      </c>
      <c r="B50" s="19" t="s">
        <v>842</v>
      </c>
      <c r="C50" s="19" t="str">
        <f t="shared" si="0"/>
        <v>Lao NA</v>
      </c>
      <c r="D50" s="19" t="s">
        <v>1489</v>
      </c>
      <c r="E50" s="19" t="s">
        <v>1585</v>
      </c>
      <c r="F50" s="19" t="s">
        <v>1491</v>
      </c>
      <c r="G50" s="19" t="s">
        <v>1527</v>
      </c>
      <c r="H50" s="19">
        <v>87821076</v>
      </c>
      <c r="I50" s="14"/>
      <c r="J50" s="14"/>
      <c r="K50" s="14"/>
      <c r="L50" s="14"/>
      <c r="M50" s="14"/>
    </row>
    <row r="51" spans="1:13" ht="12.5">
      <c r="A51" s="19" t="s">
        <v>1586</v>
      </c>
      <c r="B51" s="19" t="s">
        <v>4574</v>
      </c>
      <c r="C51" s="19" t="str">
        <f t="shared" si="0"/>
        <v>Xavier Boey</v>
      </c>
      <c r="D51" s="19" t="s">
        <v>1489</v>
      </c>
      <c r="E51" s="19" t="s">
        <v>1587</v>
      </c>
      <c r="F51" s="19" t="s">
        <v>1491</v>
      </c>
      <c r="G51" s="19" t="s">
        <v>1588</v>
      </c>
      <c r="H51" s="19">
        <v>91266873</v>
      </c>
      <c r="I51" s="14"/>
      <c r="J51" s="14"/>
      <c r="K51" s="14"/>
      <c r="L51" s="14"/>
      <c r="M51" s="14"/>
    </row>
    <row r="52" spans="1:13" ht="12.5">
      <c r="A52" s="19" t="s">
        <v>1226</v>
      </c>
      <c r="B52" s="19" t="s">
        <v>4575</v>
      </c>
      <c r="C52" s="19" t="str">
        <f t="shared" si="0"/>
        <v>Cheryl Chiu</v>
      </c>
      <c r="D52" s="19" t="s">
        <v>1489</v>
      </c>
      <c r="E52" s="19" t="s">
        <v>1589</v>
      </c>
      <c r="F52" s="19" t="s">
        <v>4</v>
      </c>
      <c r="G52" s="19" t="s">
        <v>1590</v>
      </c>
      <c r="H52" s="19">
        <v>63417096</v>
      </c>
      <c r="I52" s="14"/>
      <c r="J52" s="14"/>
      <c r="K52" s="14"/>
      <c r="L52" s="14"/>
      <c r="M52" s="14"/>
    </row>
    <row r="53" spans="1:13" ht="12.5">
      <c r="A53" s="19" t="s">
        <v>522</v>
      </c>
      <c r="B53" s="19" t="s">
        <v>1503</v>
      </c>
      <c r="C53" s="19" t="str">
        <f t="shared" si="0"/>
        <v>Lawrence -</v>
      </c>
      <c r="D53" s="19" t="s">
        <v>1489</v>
      </c>
      <c r="E53" s="19" t="s">
        <v>1591</v>
      </c>
      <c r="F53" s="19" t="s">
        <v>4</v>
      </c>
      <c r="G53" s="19" t="s">
        <v>1493</v>
      </c>
      <c r="H53" s="19">
        <v>86134513</v>
      </c>
      <c r="I53" s="14"/>
      <c r="J53" s="14"/>
      <c r="K53" s="14"/>
      <c r="L53" s="14"/>
      <c r="M53" s="14"/>
    </row>
    <row r="54" spans="1:13" ht="12.5">
      <c r="A54" s="19" t="s">
        <v>4414</v>
      </c>
      <c r="B54" s="19" t="s">
        <v>842</v>
      </c>
      <c r="C54" s="19" t="str">
        <f t="shared" si="0"/>
        <v>Dennis NA</v>
      </c>
      <c r="D54" s="19" t="s">
        <v>1489</v>
      </c>
      <c r="E54" s="19" t="s">
        <v>1592</v>
      </c>
      <c r="F54" s="19" t="s">
        <v>4</v>
      </c>
      <c r="G54" s="19" t="s">
        <v>1593</v>
      </c>
      <c r="H54" s="19" t="s">
        <v>1527</v>
      </c>
      <c r="I54" s="14"/>
      <c r="J54" s="14"/>
      <c r="K54" s="14"/>
      <c r="L54" s="14"/>
      <c r="M54" s="14"/>
    </row>
    <row r="55" spans="1:13" ht="23">
      <c r="A55" s="19" t="s">
        <v>4415</v>
      </c>
      <c r="B55" s="19" t="s">
        <v>4576</v>
      </c>
      <c r="C55" s="19" t="str">
        <f t="shared" si="0"/>
        <v>MJ Voong</v>
      </c>
      <c r="D55" s="19" t="s">
        <v>1489</v>
      </c>
      <c r="E55" s="19" t="s">
        <v>1594</v>
      </c>
      <c r="F55" s="19" t="s">
        <v>4</v>
      </c>
      <c r="G55" s="19" t="s">
        <v>1595</v>
      </c>
      <c r="H55" s="19" t="s">
        <v>1493</v>
      </c>
      <c r="I55" s="14"/>
      <c r="J55" s="14"/>
      <c r="K55" s="14"/>
      <c r="L55" s="14"/>
      <c r="M55" s="14"/>
    </row>
    <row r="56" spans="1:13" ht="12.5">
      <c r="A56" s="19" t="s">
        <v>2807</v>
      </c>
      <c r="B56" s="19" t="s">
        <v>842</v>
      </c>
      <c r="C56" s="19" t="str">
        <f t="shared" si="0"/>
        <v>Sandy NA</v>
      </c>
      <c r="D56" s="19" t="s">
        <v>1489</v>
      </c>
      <c r="E56" s="19" t="s">
        <v>1596</v>
      </c>
      <c r="F56" s="19" t="s">
        <v>4</v>
      </c>
      <c r="G56" s="19" t="s">
        <v>1493</v>
      </c>
      <c r="H56" s="19">
        <v>81183747</v>
      </c>
      <c r="I56" s="14"/>
      <c r="J56" s="14"/>
      <c r="K56" s="14"/>
      <c r="L56" s="14"/>
      <c r="M56" s="14"/>
    </row>
    <row r="57" spans="1:13" ht="23">
      <c r="A57" s="19" t="s">
        <v>821</v>
      </c>
      <c r="B57" s="19" t="s">
        <v>842</v>
      </c>
      <c r="C57" s="19" t="str">
        <f t="shared" si="0"/>
        <v>Lee NA</v>
      </c>
      <c r="D57" s="19" t="s">
        <v>1489</v>
      </c>
      <c r="E57" s="19" t="s">
        <v>1597</v>
      </c>
      <c r="F57" s="19" t="s">
        <v>4</v>
      </c>
      <c r="G57" s="19" t="s">
        <v>1493</v>
      </c>
      <c r="H57" s="19" t="s">
        <v>1598</v>
      </c>
      <c r="I57" s="14"/>
      <c r="J57" s="14"/>
      <c r="K57" s="14"/>
      <c r="L57" s="14"/>
      <c r="M57" s="14"/>
    </row>
    <row r="58" spans="1:13" ht="12.5">
      <c r="A58" s="19" t="s">
        <v>4416</v>
      </c>
      <c r="B58" s="19" t="s">
        <v>4577</v>
      </c>
      <c r="C58" s="19" t="str">
        <f t="shared" si="0"/>
        <v>Roja Line</v>
      </c>
      <c r="D58" s="19" t="s">
        <v>1489</v>
      </c>
      <c r="E58" s="19" t="s">
        <v>1599</v>
      </c>
      <c r="F58" s="19" t="s">
        <v>1491</v>
      </c>
      <c r="G58" s="19" t="s">
        <v>1600</v>
      </c>
      <c r="H58" s="19" t="s">
        <v>842</v>
      </c>
      <c r="I58" s="14"/>
      <c r="J58" s="14"/>
      <c r="K58" s="14"/>
      <c r="L58" s="14"/>
      <c r="M58" s="14"/>
    </row>
    <row r="59" spans="1:13" ht="12.5">
      <c r="A59" s="19" t="s">
        <v>1601</v>
      </c>
      <c r="B59" s="19" t="s">
        <v>842</v>
      </c>
      <c r="C59" s="19" t="str">
        <f t="shared" si="0"/>
        <v>DUFF NA</v>
      </c>
      <c r="D59" s="19" t="s">
        <v>1489</v>
      </c>
      <c r="E59" s="19" t="s">
        <v>842</v>
      </c>
      <c r="F59" s="19" t="s">
        <v>4</v>
      </c>
      <c r="G59" s="19" t="s">
        <v>1602</v>
      </c>
      <c r="H59" s="19" t="s">
        <v>842</v>
      </c>
      <c r="I59" s="14"/>
      <c r="J59" s="14"/>
      <c r="K59" s="14"/>
      <c r="L59" s="14"/>
      <c r="M59" s="14"/>
    </row>
    <row r="60" spans="1:13" ht="23">
      <c r="A60" s="19" t="s">
        <v>4417</v>
      </c>
      <c r="B60" s="19" t="s">
        <v>4578</v>
      </c>
      <c r="C60" s="19" t="str">
        <f t="shared" si="0"/>
        <v>Pham Cong</v>
      </c>
      <c r="D60" s="19" t="s">
        <v>1489</v>
      </c>
      <c r="E60" s="19" t="s">
        <v>1603</v>
      </c>
      <c r="F60" s="19" t="s">
        <v>1491</v>
      </c>
      <c r="G60" s="19" t="s">
        <v>1604</v>
      </c>
      <c r="H60" s="19">
        <v>88768137</v>
      </c>
      <c r="I60" s="14"/>
      <c r="J60" s="14"/>
      <c r="K60" s="14"/>
      <c r="L60" s="14"/>
      <c r="M60" s="14"/>
    </row>
    <row r="61" spans="1:13" ht="12.5">
      <c r="A61" s="19" t="s">
        <v>4418</v>
      </c>
      <c r="B61" s="19" t="s">
        <v>842</v>
      </c>
      <c r="C61" s="19" t="str">
        <f t="shared" si="0"/>
        <v>: 上妻良平 NA</v>
      </c>
      <c r="D61" s="19" t="s">
        <v>1489</v>
      </c>
      <c r="E61" s="19" t="s">
        <v>1605</v>
      </c>
      <c r="F61" s="19" t="s">
        <v>1491</v>
      </c>
      <c r="G61" s="19" t="s">
        <v>1606</v>
      </c>
      <c r="H61" s="19" t="s">
        <v>842</v>
      </c>
      <c r="I61" s="14"/>
      <c r="J61" s="14"/>
      <c r="K61" s="14"/>
      <c r="L61" s="14"/>
      <c r="M61" s="14"/>
    </row>
    <row r="62" spans="1:13" ht="23">
      <c r="A62" s="19" t="s">
        <v>4419</v>
      </c>
      <c r="B62" s="19" t="s">
        <v>842</v>
      </c>
      <c r="C62" s="19" t="str">
        <f t="shared" si="0"/>
        <v>Fion NA</v>
      </c>
      <c r="D62" s="19" t="s">
        <v>1489</v>
      </c>
      <c r="E62" s="19" t="s">
        <v>1607</v>
      </c>
      <c r="F62" s="19" t="s">
        <v>1491</v>
      </c>
      <c r="G62" s="19" t="s">
        <v>1608</v>
      </c>
      <c r="H62" s="19">
        <v>96543353</v>
      </c>
      <c r="I62" s="14"/>
      <c r="J62" s="14"/>
      <c r="K62" s="14"/>
      <c r="L62" s="14"/>
      <c r="M62" s="14"/>
    </row>
    <row r="63" spans="1:13" ht="12.5">
      <c r="A63" s="19" t="s">
        <v>4420</v>
      </c>
      <c r="B63" s="19" t="s">
        <v>842</v>
      </c>
      <c r="C63" s="19" t="str">
        <f t="shared" si="0"/>
        <v>Aqram NA</v>
      </c>
      <c r="D63" s="19" t="s">
        <v>1489</v>
      </c>
      <c r="E63" s="19" t="s">
        <v>1609</v>
      </c>
      <c r="F63" s="19" t="s">
        <v>1491</v>
      </c>
      <c r="G63" s="19" t="s">
        <v>1610</v>
      </c>
      <c r="H63" s="19">
        <v>85885284</v>
      </c>
      <c r="I63" s="14"/>
      <c r="J63" s="14"/>
      <c r="K63" s="14"/>
      <c r="L63" s="14"/>
      <c r="M63" s="14"/>
    </row>
    <row r="64" spans="1:13" ht="12.5">
      <c r="A64" s="19" t="s">
        <v>4421</v>
      </c>
      <c r="B64" s="19" t="s">
        <v>842</v>
      </c>
      <c r="C64" s="19" t="str">
        <f t="shared" si="0"/>
        <v>Xcel NA</v>
      </c>
      <c r="D64" s="19" t="s">
        <v>1489</v>
      </c>
      <c r="E64" s="19" t="s">
        <v>1611</v>
      </c>
      <c r="F64" s="19" t="s">
        <v>1491</v>
      </c>
      <c r="G64" s="19" t="s">
        <v>1612</v>
      </c>
      <c r="H64" s="19">
        <v>84287998</v>
      </c>
      <c r="I64" s="14"/>
      <c r="J64" s="14"/>
      <c r="K64" s="14"/>
      <c r="L64" s="14"/>
      <c r="M64" s="14"/>
    </row>
    <row r="65" spans="1:13" ht="12.5">
      <c r="A65" s="19" t="s">
        <v>4422</v>
      </c>
      <c r="B65" s="19" t="s">
        <v>842</v>
      </c>
      <c r="C65" s="19" t="str">
        <f t="shared" si="0"/>
        <v>Ryohei NA</v>
      </c>
      <c r="D65" s="19" t="s">
        <v>1489</v>
      </c>
      <c r="E65" s="19" t="s">
        <v>1613</v>
      </c>
      <c r="F65" s="19" t="s">
        <v>1491</v>
      </c>
      <c r="G65" s="19" t="s">
        <v>1606</v>
      </c>
      <c r="H65" s="19" t="s">
        <v>842</v>
      </c>
      <c r="I65" s="14"/>
      <c r="J65" s="14"/>
      <c r="K65" s="14"/>
      <c r="L65" s="14"/>
      <c r="M65" s="14"/>
    </row>
    <row r="66" spans="1:13" ht="12.5">
      <c r="A66" s="19" t="s">
        <v>4423</v>
      </c>
      <c r="B66" s="19" t="s">
        <v>842</v>
      </c>
      <c r="C66" s="19" t="str">
        <f t="shared" si="0"/>
        <v>Sonia NA</v>
      </c>
      <c r="D66" s="19" t="s">
        <v>1489</v>
      </c>
      <c r="E66" s="19" t="s">
        <v>1614</v>
      </c>
      <c r="F66" s="19" t="s">
        <v>1491</v>
      </c>
      <c r="G66" s="19" t="s">
        <v>1615</v>
      </c>
      <c r="H66" s="19">
        <v>85691544</v>
      </c>
      <c r="I66" s="14"/>
      <c r="J66" s="14"/>
      <c r="K66" s="14"/>
      <c r="L66" s="14"/>
      <c r="M66" s="14"/>
    </row>
    <row r="67" spans="1:13" ht="12.5">
      <c r="A67" s="19" t="s">
        <v>698</v>
      </c>
      <c r="B67" s="19" t="s">
        <v>842</v>
      </c>
      <c r="C67" s="19" t="str">
        <f t="shared" ref="C67:C130" si="1">_xlfn.CONCAT(A67," ",B67)</f>
        <v>Lau NA</v>
      </c>
      <c r="D67" s="19" t="s">
        <v>1489</v>
      </c>
      <c r="E67" s="19" t="s">
        <v>1616</v>
      </c>
      <c r="F67" s="19" t="s">
        <v>1491</v>
      </c>
      <c r="G67" s="19" t="s">
        <v>1493</v>
      </c>
      <c r="H67" s="19">
        <v>96327396</v>
      </c>
      <c r="I67" s="14"/>
      <c r="J67" s="14"/>
      <c r="K67" s="14"/>
      <c r="L67" s="14"/>
      <c r="M67" s="14"/>
    </row>
    <row r="68" spans="1:13" ht="12.5">
      <c r="A68" s="19" t="s">
        <v>842</v>
      </c>
      <c r="B68" s="19" t="s">
        <v>842</v>
      </c>
      <c r="C68" s="19" t="str">
        <f t="shared" si="1"/>
        <v>NA NA</v>
      </c>
      <c r="D68" s="19" t="s">
        <v>1489</v>
      </c>
      <c r="E68" s="19" t="s">
        <v>1597</v>
      </c>
      <c r="F68" s="19" t="s">
        <v>1491</v>
      </c>
      <c r="G68" s="19" t="s">
        <v>1493</v>
      </c>
      <c r="H68" s="19" t="s">
        <v>1617</v>
      </c>
      <c r="I68" s="14"/>
      <c r="J68" s="14"/>
      <c r="K68" s="14"/>
      <c r="L68" s="14"/>
      <c r="M68" s="14"/>
    </row>
    <row r="69" spans="1:13" ht="12.5">
      <c r="A69" s="19" t="s">
        <v>1618</v>
      </c>
      <c r="B69" s="19" t="s">
        <v>842</v>
      </c>
      <c r="C69" s="19" t="str">
        <f t="shared" si="1"/>
        <v>Charizz NA</v>
      </c>
      <c r="D69" s="19" t="s">
        <v>1489</v>
      </c>
      <c r="E69" s="19" t="s">
        <v>1619</v>
      </c>
      <c r="F69" s="19" t="s">
        <v>1491</v>
      </c>
      <c r="G69" s="19" t="s">
        <v>1620</v>
      </c>
      <c r="H69" s="19">
        <v>98009099</v>
      </c>
      <c r="I69" s="14"/>
      <c r="J69" s="14"/>
      <c r="K69" s="14"/>
      <c r="L69" s="14"/>
      <c r="M69" s="14"/>
    </row>
    <row r="70" spans="1:13" ht="12.5">
      <c r="A70" s="19" t="s">
        <v>1621</v>
      </c>
      <c r="B70" s="19" t="s">
        <v>907</v>
      </c>
      <c r="C70" s="19" t="str">
        <f t="shared" si="1"/>
        <v>Desiree Goh</v>
      </c>
      <c r="D70" s="19" t="s">
        <v>1489</v>
      </c>
      <c r="E70" s="19" t="s">
        <v>1622</v>
      </c>
      <c r="F70" s="19" t="s">
        <v>1491</v>
      </c>
      <c r="G70" s="19" t="s">
        <v>1623</v>
      </c>
      <c r="H70" s="19">
        <v>97933237</v>
      </c>
      <c r="I70" s="14"/>
      <c r="J70" s="14"/>
      <c r="K70" s="14"/>
      <c r="L70" s="14"/>
      <c r="M70" s="14"/>
    </row>
    <row r="71" spans="1:13" ht="23">
      <c r="A71" s="19" t="s">
        <v>4424</v>
      </c>
      <c r="B71" s="19" t="s">
        <v>4579</v>
      </c>
      <c r="C71" s="19" t="str">
        <f t="shared" si="1"/>
        <v>Maison Ikkoku</v>
      </c>
      <c r="D71" s="19" t="s">
        <v>1489</v>
      </c>
      <c r="E71" s="19" t="s">
        <v>1624</v>
      </c>
      <c r="F71" s="19" t="s">
        <v>1491</v>
      </c>
      <c r="G71" s="19" t="s">
        <v>1625</v>
      </c>
      <c r="H71" s="19" t="s">
        <v>842</v>
      </c>
      <c r="I71" s="14"/>
      <c r="J71" s="14"/>
      <c r="K71" s="14"/>
      <c r="L71" s="14"/>
      <c r="M71" s="14"/>
    </row>
    <row r="72" spans="1:13" ht="23">
      <c r="A72" s="19" t="s">
        <v>4425</v>
      </c>
      <c r="B72" s="19" t="s">
        <v>842</v>
      </c>
      <c r="C72" s="19" t="str">
        <f t="shared" si="1"/>
        <v>Ravichandran NA</v>
      </c>
      <c r="D72" s="19" t="s">
        <v>1489</v>
      </c>
      <c r="E72" s="19" t="s">
        <v>1626</v>
      </c>
      <c r="F72" s="19" t="s">
        <v>1491</v>
      </c>
      <c r="G72" s="19" t="s">
        <v>1627</v>
      </c>
      <c r="H72" s="19" t="s">
        <v>842</v>
      </c>
      <c r="I72" s="14"/>
      <c r="J72" s="14"/>
      <c r="K72" s="14"/>
      <c r="L72" s="14"/>
      <c r="M72" s="14"/>
    </row>
    <row r="73" spans="1:13" ht="23">
      <c r="A73" s="19" t="s">
        <v>4426</v>
      </c>
      <c r="B73" s="19" t="s">
        <v>4580</v>
      </c>
      <c r="C73" s="19" t="str">
        <f t="shared" si="1"/>
        <v>Ayshwariya Shri</v>
      </c>
      <c r="D73" s="19" t="s">
        <v>1489</v>
      </c>
      <c r="E73" s="19" t="s">
        <v>1628</v>
      </c>
      <c r="F73" s="19" t="s">
        <v>1491</v>
      </c>
      <c r="G73" s="19" t="s">
        <v>1629</v>
      </c>
      <c r="H73" s="19">
        <v>81380977</v>
      </c>
      <c r="I73" s="14"/>
      <c r="J73" s="14"/>
      <c r="K73" s="14"/>
      <c r="L73" s="14"/>
      <c r="M73" s="14"/>
    </row>
    <row r="74" spans="1:13" ht="12.5">
      <c r="A74" s="19" t="s">
        <v>4427</v>
      </c>
      <c r="B74" s="19" t="s">
        <v>4581</v>
      </c>
      <c r="C74" s="19" t="str">
        <f t="shared" si="1"/>
        <v>Ketan Patel</v>
      </c>
      <c r="D74" s="19" t="s">
        <v>1489</v>
      </c>
      <c r="E74" s="19" t="s">
        <v>1630</v>
      </c>
      <c r="F74" s="19" t="s">
        <v>1491</v>
      </c>
      <c r="G74" s="19" t="s">
        <v>1631</v>
      </c>
      <c r="H74" s="19">
        <v>88865865</v>
      </c>
      <c r="I74" s="14"/>
      <c r="J74" s="14"/>
      <c r="K74" s="14"/>
      <c r="L74" s="14"/>
      <c r="M74" s="14"/>
    </row>
    <row r="75" spans="1:13" ht="12.5">
      <c r="A75" s="19" t="s">
        <v>842</v>
      </c>
      <c r="B75" s="19" t="s">
        <v>842</v>
      </c>
      <c r="C75" s="19" t="str">
        <f t="shared" si="1"/>
        <v>NA NA</v>
      </c>
      <c r="D75" s="19" t="s">
        <v>1489</v>
      </c>
      <c r="E75" s="19" t="s">
        <v>1632</v>
      </c>
      <c r="F75" s="19" t="s">
        <v>1491</v>
      </c>
      <c r="G75" s="19" t="s">
        <v>1493</v>
      </c>
      <c r="H75" s="19">
        <v>83813332</v>
      </c>
      <c r="I75" s="14"/>
      <c r="J75" s="14"/>
      <c r="K75" s="14"/>
      <c r="L75" s="14"/>
      <c r="M75" s="14"/>
    </row>
    <row r="76" spans="1:13" ht="23">
      <c r="A76" s="19" t="s">
        <v>767</v>
      </c>
      <c r="B76" s="19" t="s">
        <v>842</v>
      </c>
      <c r="C76" s="19" t="str">
        <f t="shared" si="1"/>
        <v>Stephen NA</v>
      </c>
      <c r="D76" s="19" t="s">
        <v>1489</v>
      </c>
      <c r="E76" s="19" t="s">
        <v>1633</v>
      </c>
      <c r="F76" s="19" t="s">
        <v>1491</v>
      </c>
      <c r="G76" s="19" t="s">
        <v>1634</v>
      </c>
      <c r="H76" s="19">
        <v>66591488</v>
      </c>
      <c r="I76" s="14"/>
      <c r="J76" s="14"/>
      <c r="K76" s="14"/>
      <c r="L76" s="14"/>
      <c r="M76" s="14"/>
    </row>
    <row r="77" spans="1:13" ht="34.5">
      <c r="A77" s="19" t="s">
        <v>4428</v>
      </c>
      <c r="B77" s="19" t="s">
        <v>702</v>
      </c>
      <c r="C77" s="19" t="str">
        <f t="shared" si="1"/>
        <v>Jeannie Lim</v>
      </c>
      <c r="D77" s="19" t="s">
        <v>1489</v>
      </c>
      <c r="E77" s="19" t="s">
        <v>1635</v>
      </c>
      <c r="F77" s="19" t="s">
        <v>1491</v>
      </c>
      <c r="G77" s="19" t="s">
        <v>1636</v>
      </c>
      <c r="H77" s="19">
        <v>87499128</v>
      </c>
      <c r="I77" s="14"/>
      <c r="J77" s="14"/>
      <c r="K77" s="14"/>
      <c r="L77" s="14"/>
      <c r="M77" s="14"/>
    </row>
    <row r="78" spans="1:13" ht="12.5">
      <c r="A78" s="19" t="s">
        <v>842</v>
      </c>
      <c r="B78" s="19" t="s">
        <v>4394</v>
      </c>
      <c r="C78" s="19" t="str">
        <f t="shared" si="1"/>
        <v xml:space="preserve">NA </v>
      </c>
      <c r="D78" s="19" t="s">
        <v>1489</v>
      </c>
      <c r="E78" s="19" t="s">
        <v>1637</v>
      </c>
      <c r="F78" s="19" t="s">
        <v>1491</v>
      </c>
      <c r="G78" s="19" t="s">
        <v>1493</v>
      </c>
      <c r="H78" s="19">
        <v>88075503</v>
      </c>
      <c r="I78" s="14"/>
      <c r="J78" s="14"/>
      <c r="K78" s="14"/>
      <c r="L78" s="14"/>
      <c r="M78" s="14"/>
    </row>
    <row r="79" spans="1:13" ht="23">
      <c r="A79" s="19" t="s">
        <v>4429</v>
      </c>
      <c r="B79" s="19" t="s">
        <v>580</v>
      </c>
      <c r="C79" s="19" t="str">
        <f t="shared" si="1"/>
        <v>Tweety Chong</v>
      </c>
      <c r="D79" s="19" t="s">
        <v>1489</v>
      </c>
      <c r="E79" s="19" t="s">
        <v>1638</v>
      </c>
      <c r="F79" s="19" t="s">
        <v>4</v>
      </c>
      <c r="G79" s="19" t="s">
        <v>1639</v>
      </c>
      <c r="H79" s="19">
        <v>91886848</v>
      </c>
      <c r="I79" s="14"/>
      <c r="J79" s="14"/>
      <c r="K79" s="14"/>
      <c r="L79" s="14"/>
      <c r="M79" s="14"/>
    </row>
    <row r="80" spans="1:13" ht="23">
      <c r="A80" s="19" t="s">
        <v>4430</v>
      </c>
      <c r="B80" s="19" t="s">
        <v>842</v>
      </c>
      <c r="C80" s="19" t="str">
        <f t="shared" si="1"/>
        <v>Shinya NA</v>
      </c>
      <c r="D80" s="19" t="s">
        <v>1489</v>
      </c>
      <c r="E80" s="19" t="s">
        <v>1640</v>
      </c>
      <c r="F80" s="19" t="s">
        <v>1491</v>
      </c>
      <c r="G80" s="19" t="s">
        <v>1641</v>
      </c>
      <c r="H80" s="19" t="s">
        <v>1642</v>
      </c>
      <c r="I80" s="14"/>
      <c r="J80" s="14"/>
      <c r="K80" s="14"/>
      <c r="L80" s="14"/>
      <c r="M80" s="14"/>
    </row>
    <row r="81" spans="1:13" ht="23">
      <c r="A81" s="19" t="s">
        <v>4431</v>
      </c>
      <c r="B81" s="19" t="s">
        <v>842</v>
      </c>
      <c r="C81" s="19" t="str">
        <f t="shared" si="1"/>
        <v>Kiran NA</v>
      </c>
      <c r="D81" s="19" t="s">
        <v>1489</v>
      </c>
      <c r="E81" s="19" t="s">
        <v>1643</v>
      </c>
      <c r="F81" s="19" t="s">
        <v>1491</v>
      </c>
      <c r="G81" s="19" t="s">
        <v>1644</v>
      </c>
      <c r="H81" s="19">
        <v>93622462</v>
      </c>
      <c r="I81" s="14"/>
      <c r="J81" s="14"/>
      <c r="K81" s="14"/>
      <c r="L81" s="14"/>
      <c r="M81" s="14"/>
    </row>
    <row r="82" spans="1:13" ht="12.5">
      <c r="A82" s="19" t="s">
        <v>1132</v>
      </c>
      <c r="B82" s="19" t="s">
        <v>842</v>
      </c>
      <c r="C82" s="19" t="str">
        <f t="shared" si="1"/>
        <v>Olivia NA</v>
      </c>
      <c r="D82" s="19" t="s">
        <v>1489</v>
      </c>
      <c r="E82" s="19" t="s">
        <v>1645</v>
      </c>
      <c r="F82" s="19" t="s">
        <v>1491</v>
      </c>
      <c r="G82" s="19" t="s">
        <v>1493</v>
      </c>
      <c r="H82" s="19">
        <v>87439063</v>
      </c>
      <c r="I82" s="14"/>
      <c r="J82" s="14"/>
      <c r="K82" s="14"/>
      <c r="L82" s="14"/>
      <c r="M82" s="14"/>
    </row>
    <row r="83" spans="1:13" ht="12.5">
      <c r="A83" s="19" t="s">
        <v>2867</v>
      </c>
      <c r="B83" s="19" t="s">
        <v>821</v>
      </c>
      <c r="C83" s="19" t="str">
        <f t="shared" si="1"/>
        <v>Albert Lee</v>
      </c>
      <c r="D83" s="19" t="s">
        <v>1489</v>
      </c>
      <c r="E83" s="19" t="s">
        <v>1646</v>
      </c>
      <c r="F83" s="19" t="s">
        <v>1491</v>
      </c>
      <c r="G83" s="19" t="s">
        <v>1647</v>
      </c>
      <c r="H83" s="19">
        <v>6582440099</v>
      </c>
      <c r="I83" s="14"/>
      <c r="J83" s="14"/>
      <c r="K83" s="14"/>
      <c r="L83" s="14"/>
      <c r="M83" s="14"/>
    </row>
    <row r="84" spans="1:13" ht="12.5">
      <c r="A84" s="19" t="s">
        <v>842</v>
      </c>
      <c r="B84" s="19" t="s">
        <v>4433</v>
      </c>
      <c r="C84" s="19" t="str">
        <f t="shared" si="1"/>
        <v>NA Jon</v>
      </c>
      <c r="D84" s="19" t="s">
        <v>1489</v>
      </c>
      <c r="E84" s="19" t="s">
        <v>842</v>
      </c>
      <c r="F84" s="19" t="s">
        <v>1491</v>
      </c>
      <c r="G84" s="19" t="s">
        <v>1493</v>
      </c>
      <c r="H84" s="19" t="s">
        <v>1648</v>
      </c>
      <c r="I84" s="14"/>
      <c r="J84" s="14"/>
      <c r="K84" s="14"/>
      <c r="L84" s="14"/>
      <c r="M84" s="14"/>
    </row>
    <row r="85" spans="1:13" ht="12.5">
      <c r="A85" s="19" t="s">
        <v>4432</v>
      </c>
      <c r="B85" s="19" t="s">
        <v>842</v>
      </c>
      <c r="C85" s="19" t="str">
        <f t="shared" si="1"/>
        <v>Royng NA</v>
      </c>
      <c r="D85" s="19" t="s">
        <v>1489</v>
      </c>
      <c r="E85" s="19" t="s">
        <v>1649</v>
      </c>
      <c r="F85" s="19" t="s">
        <v>1491</v>
      </c>
      <c r="G85" s="19" t="s">
        <v>1650</v>
      </c>
      <c r="H85" s="19">
        <v>91011941</v>
      </c>
      <c r="I85" s="14"/>
      <c r="J85" s="14"/>
      <c r="K85" s="14"/>
      <c r="L85" s="14"/>
      <c r="M85" s="14"/>
    </row>
    <row r="86" spans="1:13" ht="12.5">
      <c r="A86" s="19" t="s">
        <v>842</v>
      </c>
      <c r="B86" s="19" t="s">
        <v>842</v>
      </c>
      <c r="C86" s="19" t="str">
        <f t="shared" si="1"/>
        <v>NA NA</v>
      </c>
      <c r="D86" s="19" t="s">
        <v>1489</v>
      </c>
      <c r="E86" s="19" t="s">
        <v>1651</v>
      </c>
      <c r="F86" s="19" t="s">
        <v>1491</v>
      </c>
      <c r="G86" s="19" t="s">
        <v>1493</v>
      </c>
      <c r="H86" s="19">
        <v>82922422</v>
      </c>
      <c r="I86" s="14"/>
      <c r="J86" s="14"/>
      <c r="K86" s="14"/>
      <c r="L86" s="14"/>
      <c r="M86" s="14"/>
    </row>
    <row r="87" spans="1:13" ht="12.5">
      <c r="A87" s="19" t="s">
        <v>1652</v>
      </c>
      <c r="B87" s="19" t="s">
        <v>842</v>
      </c>
      <c r="C87" s="19" t="str">
        <f t="shared" si="1"/>
        <v>Cherri NA</v>
      </c>
      <c r="D87" s="19" t="s">
        <v>1489</v>
      </c>
      <c r="E87" s="19" t="s">
        <v>1653</v>
      </c>
      <c r="F87" s="19" t="s">
        <v>1491</v>
      </c>
      <c r="G87" s="19" t="s">
        <v>1493</v>
      </c>
      <c r="H87" s="19">
        <v>97898141</v>
      </c>
      <c r="I87" s="14"/>
      <c r="J87" s="14"/>
      <c r="K87" s="14"/>
      <c r="L87" s="14"/>
      <c r="M87" s="14"/>
    </row>
    <row r="88" spans="1:13" ht="12.5">
      <c r="A88" s="19" t="s">
        <v>4433</v>
      </c>
      <c r="B88" s="19" t="s">
        <v>842</v>
      </c>
      <c r="C88" s="19" t="str">
        <f t="shared" si="1"/>
        <v>Jon NA</v>
      </c>
      <c r="D88" s="19" t="s">
        <v>1489</v>
      </c>
      <c r="E88" s="19" t="s">
        <v>1645</v>
      </c>
      <c r="F88" s="19" t="s">
        <v>1491</v>
      </c>
      <c r="G88" s="19" t="s">
        <v>1493</v>
      </c>
      <c r="H88" s="19" t="s">
        <v>1654</v>
      </c>
      <c r="I88" s="14"/>
      <c r="J88" s="14"/>
      <c r="K88" s="14"/>
      <c r="L88" s="14"/>
      <c r="M88" s="14"/>
    </row>
    <row r="89" spans="1:13" ht="23">
      <c r="A89" s="19" t="s">
        <v>4434</v>
      </c>
      <c r="B89" s="19" t="s">
        <v>842</v>
      </c>
      <c r="C89" s="19" t="str">
        <f t="shared" si="1"/>
        <v>Desmond Goh NA</v>
      </c>
      <c r="D89" s="19" t="s">
        <v>1489</v>
      </c>
      <c r="E89" s="19" t="s">
        <v>1655</v>
      </c>
      <c r="F89" s="19" t="s">
        <v>1491</v>
      </c>
      <c r="G89" s="19" t="s">
        <v>1656</v>
      </c>
      <c r="H89" s="19" t="s">
        <v>1657</v>
      </c>
      <c r="I89" s="14"/>
      <c r="J89" s="14"/>
      <c r="K89" s="14"/>
      <c r="L89" s="14"/>
      <c r="M89" s="14"/>
    </row>
    <row r="90" spans="1:13" ht="12.5">
      <c r="A90" s="19" t="s">
        <v>1658</v>
      </c>
      <c r="B90" s="19" t="s">
        <v>842</v>
      </c>
      <c r="C90" s="19" t="str">
        <f t="shared" si="1"/>
        <v>SK NA</v>
      </c>
      <c r="D90" s="19" t="s">
        <v>1489</v>
      </c>
      <c r="E90" s="19" t="s">
        <v>1659</v>
      </c>
      <c r="F90" s="19" t="s">
        <v>1491</v>
      </c>
      <c r="G90" s="19" t="s">
        <v>1600</v>
      </c>
      <c r="H90" s="19">
        <v>93277629</v>
      </c>
      <c r="I90" s="14"/>
      <c r="J90" s="14"/>
      <c r="K90" s="14"/>
      <c r="L90" s="14"/>
      <c r="M90" s="14"/>
    </row>
    <row r="91" spans="1:13" ht="12.5">
      <c r="A91" s="19" t="s">
        <v>1660</v>
      </c>
      <c r="B91" s="19" t="s">
        <v>842</v>
      </c>
      <c r="C91" s="19" t="str">
        <f t="shared" si="1"/>
        <v>Alisa NA</v>
      </c>
      <c r="D91" s="19" t="s">
        <v>1489</v>
      </c>
      <c r="E91" s="19" t="s">
        <v>1661</v>
      </c>
      <c r="F91" s="19" t="s">
        <v>1491</v>
      </c>
      <c r="G91" s="19" t="s">
        <v>1662</v>
      </c>
      <c r="H91" s="19" t="s">
        <v>842</v>
      </c>
      <c r="I91" s="14"/>
      <c r="J91" s="14"/>
      <c r="K91" s="14"/>
      <c r="L91" s="14"/>
      <c r="M91" s="14"/>
    </row>
    <row r="92" spans="1:13" ht="12.5">
      <c r="A92" s="19" t="s">
        <v>4435</v>
      </c>
      <c r="B92" s="19" t="s">
        <v>702</v>
      </c>
      <c r="C92" s="19" t="str">
        <f t="shared" si="1"/>
        <v>Daniel Lim</v>
      </c>
      <c r="D92" s="19" t="s">
        <v>1489</v>
      </c>
      <c r="E92" s="19" t="s">
        <v>1663</v>
      </c>
      <c r="F92" s="19" t="s">
        <v>1491</v>
      </c>
      <c r="G92" s="19" t="s">
        <v>1664</v>
      </c>
      <c r="H92" s="19">
        <v>88747164</v>
      </c>
      <c r="I92" s="14"/>
      <c r="J92" s="14"/>
      <c r="K92" s="14"/>
      <c r="L92" s="14"/>
      <c r="M92" s="14"/>
    </row>
    <row r="93" spans="1:13" ht="23">
      <c r="A93" s="19" t="s">
        <v>4436</v>
      </c>
      <c r="B93" s="19" t="s">
        <v>4582</v>
      </c>
      <c r="C93" s="19" t="str">
        <f t="shared" si="1"/>
        <v>Hsing Chiao</v>
      </c>
      <c r="D93" s="19" t="s">
        <v>1489</v>
      </c>
      <c r="E93" s="19" t="s">
        <v>1665</v>
      </c>
      <c r="F93" s="19" t="s">
        <v>1491</v>
      </c>
      <c r="G93" s="19" t="s">
        <v>1666</v>
      </c>
      <c r="H93" s="19">
        <v>91305068</v>
      </c>
      <c r="I93" s="14"/>
      <c r="J93" s="14"/>
      <c r="K93" s="14"/>
      <c r="L93" s="14"/>
      <c r="M93" s="14"/>
    </row>
    <row r="94" spans="1:13" ht="12.5">
      <c r="A94" s="19" t="s">
        <v>842</v>
      </c>
      <c r="B94" s="19" t="s">
        <v>842</v>
      </c>
      <c r="C94" s="19" t="str">
        <f t="shared" si="1"/>
        <v>NA NA</v>
      </c>
      <c r="D94" s="19" t="s">
        <v>1489</v>
      </c>
      <c r="E94" s="19" t="s">
        <v>1645</v>
      </c>
      <c r="F94" s="19" t="s">
        <v>4</v>
      </c>
      <c r="G94" s="19" t="s">
        <v>1493</v>
      </c>
      <c r="H94" s="19" t="s">
        <v>1667</v>
      </c>
      <c r="I94" s="14"/>
      <c r="J94" s="14"/>
      <c r="K94" s="14"/>
      <c r="L94" s="14"/>
      <c r="M94" s="14"/>
    </row>
    <row r="95" spans="1:13" ht="23">
      <c r="A95" s="19" t="s">
        <v>4437</v>
      </c>
      <c r="B95" s="19" t="s">
        <v>2831</v>
      </c>
      <c r="C95" s="19" t="str">
        <f t="shared" si="1"/>
        <v>Yuan Song</v>
      </c>
      <c r="D95" s="19" t="s">
        <v>1489</v>
      </c>
      <c r="E95" s="19" t="s">
        <v>1668</v>
      </c>
      <c r="F95" s="19" t="s">
        <v>4</v>
      </c>
      <c r="G95" s="19" t="s">
        <v>1669</v>
      </c>
      <c r="H95" s="19">
        <v>98773038</v>
      </c>
      <c r="I95" s="14"/>
      <c r="J95" s="14"/>
      <c r="K95" s="14"/>
      <c r="L95" s="14"/>
      <c r="M95" s="14"/>
    </row>
    <row r="96" spans="1:13" ht="34.5">
      <c r="A96" s="19" t="s">
        <v>4002</v>
      </c>
      <c r="B96" s="19" t="s">
        <v>2229</v>
      </c>
      <c r="C96" s="19" t="str">
        <f t="shared" si="1"/>
        <v>Kieran Foo</v>
      </c>
      <c r="D96" s="19" t="s">
        <v>1489</v>
      </c>
      <c r="E96" s="19" t="s">
        <v>1670</v>
      </c>
      <c r="F96" s="19" t="s">
        <v>1491</v>
      </c>
      <c r="G96" s="19" t="s">
        <v>1671</v>
      </c>
      <c r="H96" s="19">
        <v>83889300</v>
      </c>
      <c r="I96" s="14"/>
      <c r="J96" s="14"/>
      <c r="K96" s="14"/>
      <c r="L96" s="14"/>
      <c r="M96" s="14"/>
    </row>
    <row r="97" spans="1:13" ht="12.5">
      <c r="A97" s="19" t="s">
        <v>842</v>
      </c>
      <c r="B97" s="19" t="s">
        <v>842</v>
      </c>
      <c r="C97" s="19" t="str">
        <f t="shared" si="1"/>
        <v>NA NA</v>
      </c>
      <c r="D97" s="19" t="s">
        <v>1489</v>
      </c>
      <c r="E97" s="19" t="s">
        <v>1672</v>
      </c>
      <c r="F97" s="19" t="s">
        <v>1491</v>
      </c>
      <c r="G97" s="19" t="s">
        <v>1493</v>
      </c>
      <c r="H97" s="19">
        <v>91067779</v>
      </c>
      <c r="I97" s="14"/>
      <c r="J97" s="14"/>
      <c r="K97" s="14"/>
      <c r="L97" s="14"/>
      <c r="M97" s="14"/>
    </row>
    <row r="98" spans="1:13" ht="12.5">
      <c r="A98" s="19" t="s">
        <v>842</v>
      </c>
      <c r="B98" s="19" t="s">
        <v>842</v>
      </c>
      <c r="C98" s="19" t="str">
        <f t="shared" si="1"/>
        <v>NA NA</v>
      </c>
      <c r="D98" s="19" t="s">
        <v>1489</v>
      </c>
      <c r="E98" s="19" t="s">
        <v>1645</v>
      </c>
      <c r="F98" s="19" t="s">
        <v>1491</v>
      </c>
      <c r="G98" s="19" t="s">
        <v>1493</v>
      </c>
      <c r="H98" s="19">
        <v>87688382</v>
      </c>
      <c r="I98" s="14"/>
      <c r="J98" s="14"/>
      <c r="K98" s="14"/>
      <c r="L98" s="14"/>
      <c r="M98" s="14"/>
    </row>
    <row r="99" spans="1:13" ht="12.5">
      <c r="A99" s="19" t="s">
        <v>1673</v>
      </c>
      <c r="B99" s="19" t="s">
        <v>4583</v>
      </c>
      <c r="C99" s="19" t="str">
        <f t="shared" si="1"/>
        <v>Saida Chakri</v>
      </c>
      <c r="D99" s="19" t="s">
        <v>1489</v>
      </c>
      <c r="E99" s="19" t="s">
        <v>1674</v>
      </c>
      <c r="F99" s="19" t="s">
        <v>1491</v>
      </c>
      <c r="G99" s="19" t="s">
        <v>1675</v>
      </c>
      <c r="H99" s="19">
        <v>97238889</v>
      </c>
      <c r="I99" s="14"/>
      <c r="J99" s="14"/>
      <c r="K99" s="14"/>
      <c r="L99" s="14"/>
      <c r="M99" s="14"/>
    </row>
    <row r="100" spans="1:13" ht="12.5">
      <c r="A100" s="19" t="s">
        <v>842</v>
      </c>
      <c r="B100" s="19" t="s">
        <v>842</v>
      </c>
      <c r="C100" s="19" t="str">
        <f t="shared" si="1"/>
        <v>NA NA</v>
      </c>
      <c r="D100" s="19" t="s">
        <v>1489</v>
      </c>
      <c r="E100" s="19" t="s">
        <v>1676</v>
      </c>
      <c r="F100" s="19" t="s">
        <v>1491</v>
      </c>
      <c r="G100" s="19" t="s">
        <v>1677</v>
      </c>
      <c r="H100" s="19">
        <v>98474985</v>
      </c>
      <c r="I100" s="14"/>
      <c r="J100" s="14"/>
      <c r="K100" s="14"/>
      <c r="L100" s="14"/>
      <c r="M100" s="14"/>
    </row>
    <row r="101" spans="1:13" ht="12.5">
      <c r="A101" s="19" t="s">
        <v>842</v>
      </c>
      <c r="B101" s="19" t="s">
        <v>842</v>
      </c>
      <c r="C101" s="19" t="str">
        <f t="shared" si="1"/>
        <v>NA NA</v>
      </c>
      <c r="D101" s="19" t="s">
        <v>1489</v>
      </c>
      <c r="E101" s="19" t="s">
        <v>1678</v>
      </c>
      <c r="F101" s="19" t="s">
        <v>1491</v>
      </c>
      <c r="G101" s="19" t="s">
        <v>1493</v>
      </c>
      <c r="H101" s="19" t="s">
        <v>1679</v>
      </c>
      <c r="I101" s="14"/>
      <c r="J101" s="14"/>
      <c r="K101" s="14"/>
      <c r="L101" s="14"/>
      <c r="M101" s="14"/>
    </row>
    <row r="102" spans="1:13" ht="12.5">
      <c r="A102" s="19" t="s">
        <v>4438</v>
      </c>
      <c r="B102" s="19" t="s">
        <v>842</v>
      </c>
      <c r="C102" s="19" t="str">
        <f t="shared" si="1"/>
        <v>Owner NA</v>
      </c>
      <c r="D102" s="19" t="s">
        <v>1489</v>
      </c>
      <c r="E102" s="19" t="s">
        <v>1680</v>
      </c>
      <c r="F102" s="19" t="s">
        <v>1491</v>
      </c>
      <c r="G102" s="19" t="s">
        <v>1493</v>
      </c>
      <c r="H102" s="19">
        <v>90588243</v>
      </c>
      <c r="I102" s="14"/>
      <c r="J102" s="14"/>
      <c r="K102" s="14"/>
      <c r="L102" s="14"/>
      <c r="M102" s="14"/>
    </row>
    <row r="103" spans="1:13" ht="23">
      <c r="A103" s="19" t="s">
        <v>4439</v>
      </c>
      <c r="B103" s="19" t="s">
        <v>4584</v>
      </c>
      <c r="C103" s="19" t="str">
        <f t="shared" si="1"/>
        <v>Benny Dai</v>
      </c>
      <c r="D103" s="19" t="s">
        <v>1489</v>
      </c>
      <c r="E103" s="19" t="s">
        <v>1681</v>
      </c>
      <c r="F103" s="19" t="s">
        <v>1491</v>
      </c>
      <c r="G103" s="19" t="s">
        <v>1493</v>
      </c>
      <c r="H103" s="19" t="s">
        <v>1682</v>
      </c>
      <c r="I103" s="14"/>
      <c r="J103" s="14"/>
      <c r="K103" s="14"/>
      <c r="L103" s="14"/>
      <c r="M103" s="14"/>
    </row>
    <row r="104" spans="1:13" ht="23">
      <c r="A104" s="19" t="s">
        <v>4440</v>
      </c>
      <c r="B104" s="19" t="s">
        <v>842</v>
      </c>
      <c r="C104" s="19" t="str">
        <f t="shared" si="1"/>
        <v>Kumaarie NA</v>
      </c>
      <c r="D104" s="19" t="s">
        <v>1489</v>
      </c>
      <c r="E104" s="19" t="s">
        <v>1683</v>
      </c>
      <c r="F104" s="19" t="s">
        <v>1491</v>
      </c>
      <c r="G104" s="19" t="s">
        <v>1684</v>
      </c>
      <c r="H104" s="19" t="s">
        <v>842</v>
      </c>
      <c r="I104" s="14"/>
      <c r="J104" s="14"/>
      <c r="K104" s="14"/>
      <c r="L104" s="14"/>
      <c r="M104" s="14"/>
    </row>
    <row r="105" spans="1:13" ht="23">
      <c r="A105" s="19" t="s">
        <v>3685</v>
      </c>
      <c r="B105" s="19" t="s">
        <v>842</v>
      </c>
      <c r="C105" s="19" t="str">
        <f t="shared" si="1"/>
        <v>Gary NA</v>
      </c>
      <c r="D105" s="19" t="s">
        <v>1489</v>
      </c>
      <c r="E105" s="19" t="s">
        <v>1685</v>
      </c>
      <c r="F105" s="19" t="s">
        <v>1491</v>
      </c>
      <c r="G105" s="19" t="s">
        <v>1686</v>
      </c>
      <c r="H105" s="19">
        <v>62217056</v>
      </c>
      <c r="I105" s="14"/>
      <c r="J105" s="14"/>
      <c r="K105" s="14"/>
      <c r="L105" s="14"/>
      <c r="M105" s="14"/>
    </row>
    <row r="106" spans="1:13" ht="12.5">
      <c r="A106" s="19" t="s">
        <v>487</v>
      </c>
      <c r="B106" s="19" t="s">
        <v>4585</v>
      </c>
      <c r="C106" s="19" t="str">
        <f t="shared" si="1"/>
        <v>Andy So</v>
      </c>
      <c r="D106" s="19" t="s">
        <v>1489</v>
      </c>
      <c r="E106" s="19" t="s">
        <v>1687</v>
      </c>
      <c r="F106" s="19" t="s">
        <v>1491</v>
      </c>
      <c r="G106" s="19" t="s">
        <v>1688</v>
      </c>
      <c r="H106" s="19">
        <v>81614455</v>
      </c>
      <c r="I106" s="14"/>
      <c r="J106" s="14"/>
      <c r="K106" s="14"/>
      <c r="L106" s="14"/>
      <c r="M106" s="14"/>
    </row>
    <row r="107" spans="1:13" ht="23">
      <c r="A107" s="19" t="s">
        <v>702</v>
      </c>
      <c r="B107" s="19" t="s">
        <v>842</v>
      </c>
      <c r="C107" s="19" t="str">
        <f t="shared" si="1"/>
        <v>Lim NA</v>
      </c>
      <c r="D107" s="19" t="s">
        <v>1489</v>
      </c>
      <c r="E107" s="19" t="s">
        <v>1689</v>
      </c>
      <c r="F107" s="19" t="s">
        <v>1491</v>
      </c>
      <c r="G107" s="19" t="s">
        <v>1690</v>
      </c>
      <c r="H107" s="19" t="s">
        <v>1691</v>
      </c>
      <c r="I107" s="14"/>
      <c r="J107" s="14"/>
      <c r="K107" s="14"/>
      <c r="L107" s="14"/>
      <c r="M107" s="14"/>
    </row>
    <row r="108" spans="1:13" ht="23">
      <c r="A108" s="19" t="s">
        <v>4441</v>
      </c>
      <c r="B108" s="19" t="s">
        <v>842</v>
      </c>
      <c r="C108" s="19" t="str">
        <f t="shared" si="1"/>
        <v>Lex NA</v>
      </c>
      <c r="D108" s="19" t="s">
        <v>1489</v>
      </c>
      <c r="E108" s="19" t="s">
        <v>1692</v>
      </c>
      <c r="F108" s="19" t="s">
        <v>1491</v>
      </c>
      <c r="G108" s="19" t="s">
        <v>1693</v>
      </c>
      <c r="H108" s="19">
        <v>6596193853</v>
      </c>
      <c r="I108" s="14"/>
      <c r="J108" s="14"/>
      <c r="K108" s="14"/>
      <c r="L108" s="14"/>
      <c r="M108" s="14"/>
    </row>
    <row r="109" spans="1:13" ht="12.5">
      <c r="A109" s="19" t="s">
        <v>698</v>
      </c>
      <c r="B109" s="19" t="s">
        <v>842</v>
      </c>
      <c r="C109" s="19" t="str">
        <f t="shared" si="1"/>
        <v>Lau NA</v>
      </c>
      <c r="D109" s="19" t="s">
        <v>1489</v>
      </c>
      <c r="E109" s="19" t="s">
        <v>1694</v>
      </c>
      <c r="F109" s="19" t="s">
        <v>1491</v>
      </c>
      <c r="G109" s="19" t="s">
        <v>1493</v>
      </c>
      <c r="H109" s="19">
        <v>85759567</v>
      </c>
      <c r="I109" s="14"/>
      <c r="J109" s="14"/>
      <c r="K109" s="14"/>
      <c r="L109" s="14"/>
      <c r="M109" s="14"/>
    </row>
    <row r="110" spans="1:13" ht="12.5">
      <c r="A110" s="19" t="s">
        <v>1695</v>
      </c>
      <c r="B110" s="19" t="s">
        <v>4586</v>
      </c>
      <c r="C110" s="19" t="str">
        <f t="shared" si="1"/>
        <v>Peddi Akurati</v>
      </c>
      <c r="D110" s="19" t="s">
        <v>1489</v>
      </c>
      <c r="E110" s="19" t="s">
        <v>1696</v>
      </c>
      <c r="F110" s="19" t="s">
        <v>1491</v>
      </c>
      <c r="G110" s="19" t="s">
        <v>1697</v>
      </c>
      <c r="H110" s="19">
        <v>6596393965</v>
      </c>
      <c r="I110" s="14"/>
      <c r="J110" s="14"/>
      <c r="K110" s="14"/>
      <c r="L110" s="14"/>
      <c r="M110" s="14"/>
    </row>
    <row r="111" spans="1:13" ht="12.5">
      <c r="A111" s="19" t="s">
        <v>4442</v>
      </c>
      <c r="B111" s="19" t="s">
        <v>907</v>
      </c>
      <c r="C111" s="19" t="str">
        <f t="shared" si="1"/>
        <v>Alastier Goh</v>
      </c>
      <c r="D111" s="19" t="s">
        <v>1489</v>
      </c>
      <c r="E111" s="19" t="s">
        <v>1698</v>
      </c>
      <c r="F111" s="19" t="s">
        <v>1491</v>
      </c>
      <c r="G111" s="19" t="s">
        <v>1699</v>
      </c>
      <c r="H111" s="19">
        <v>93354333</v>
      </c>
      <c r="I111" s="14"/>
      <c r="J111" s="14"/>
      <c r="K111" s="14"/>
      <c r="L111" s="14"/>
      <c r="M111" s="14"/>
    </row>
    <row r="112" spans="1:13" ht="12.5">
      <c r="A112" s="19" t="s">
        <v>4441</v>
      </c>
      <c r="B112" s="19" t="s">
        <v>842</v>
      </c>
      <c r="C112" s="19" t="str">
        <f t="shared" si="1"/>
        <v>Lex NA</v>
      </c>
      <c r="D112" s="19" t="s">
        <v>1489</v>
      </c>
      <c r="E112" s="19" t="s">
        <v>1700</v>
      </c>
      <c r="F112" s="19" t="s">
        <v>1491</v>
      </c>
      <c r="G112" s="19" t="s">
        <v>1701</v>
      </c>
      <c r="H112" s="19">
        <v>83839268</v>
      </c>
      <c r="I112" s="14"/>
      <c r="J112" s="14"/>
      <c r="K112" s="14"/>
      <c r="L112" s="14"/>
      <c r="M112" s="14"/>
    </row>
    <row r="113" spans="1:13" ht="23">
      <c r="A113" s="19" t="s">
        <v>2794</v>
      </c>
      <c r="B113" s="19" t="s">
        <v>842</v>
      </c>
      <c r="C113" s="19" t="str">
        <f t="shared" si="1"/>
        <v>Joseph NA</v>
      </c>
      <c r="D113" s="19" t="s">
        <v>1489</v>
      </c>
      <c r="E113" s="19" t="s">
        <v>1702</v>
      </c>
      <c r="F113" s="19" t="s">
        <v>1491</v>
      </c>
      <c r="G113" s="19" t="s">
        <v>1493</v>
      </c>
      <c r="H113" s="19">
        <v>96789444</v>
      </c>
      <c r="I113" s="14"/>
      <c r="J113" s="14"/>
      <c r="K113" s="14"/>
      <c r="L113" s="14"/>
      <c r="M113" s="14"/>
    </row>
    <row r="114" spans="1:13" ht="12.5">
      <c r="A114" s="19" t="s">
        <v>4443</v>
      </c>
      <c r="B114" s="19" t="s">
        <v>744</v>
      </c>
      <c r="C114" s="19" t="str">
        <f t="shared" si="1"/>
        <v>Meijia Chan</v>
      </c>
      <c r="D114" s="19" t="s">
        <v>1489</v>
      </c>
      <c r="E114" s="19" t="s">
        <v>1703</v>
      </c>
      <c r="F114" s="19" t="s">
        <v>1491</v>
      </c>
      <c r="G114" s="19" t="s">
        <v>1704</v>
      </c>
      <c r="H114" s="19">
        <v>90182832</v>
      </c>
      <c r="I114" s="14"/>
      <c r="J114" s="14"/>
      <c r="K114" s="14"/>
      <c r="L114" s="14"/>
      <c r="M114" s="14"/>
    </row>
    <row r="115" spans="1:13" ht="23">
      <c r="A115" s="19" t="s">
        <v>4444</v>
      </c>
      <c r="B115" s="19" t="s">
        <v>667</v>
      </c>
      <c r="C115" s="19" t="str">
        <f t="shared" si="1"/>
        <v>Geraldine Soh</v>
      </c>
      <c r="D115" s="19" t="s">
        <v>1489</v>
      </c>
      <c r="E115" s="19" t="s">
        <v>1705</v>
      </c>
      <c r="F115" s="19" t="s">
        <v>1491</v>
      </c>
      <c r="G115" s="19" t="s">
        <v>1706</v>
      </c>
      <c r="H115" s="19" t="s">
        <v>1707</v>
      </c>
      <c r="I115" s="14"/>
      <c r="J115" s="14"/>
      <c r="K115" s="14"/>
      <c r="L115" s="14"/>
      <c r="M115" s="14"/>
    </row>
    <row r="116" spans="1:13" ht="23">
      <c r="A116" s="19" t="s">
        <v>4445</v>
      </c>
      <c r="B116" s="19" t="s">
        <v>842</v>
      </c>
      <c r="C116" s="19" t="str">
        <f t="shared" si="1"/>
        <v>Eric NA</v>
      </c>
      <c r="D116" s="19" t="s">
        <v>1489</v>
      </c>
      <c r="E116" s="19" t="s">
        <v>1708</v>
      </c>
      <c r="F116" s="19" t="s">
        <v>1491</v>
      </c>
      <c r="G116" s="19" t="s">
        <v>1709</v>
      </c>
      <c r="H116" s="19">
        <v>87770305</v>
      </c>
      <c r="I116" s="14"/>
      <c r="J116" s="14"/>
      <c r="K116" s="14"/>
      <c r="L116" s="14"/>
      <c r="M116" s="14"/>
    </row>
    <row r="117" spans="1:13" ht="23">
      <c r="A117" s="19" t="s">
        <v>4446</v>
      </c>
      <c r="B117" s="19" t="s">
        <v>1710</v>
      </c>
      <c r="C117" s="19" t="str">
        <f t="shared" si="1"/>
        <v>Ta Wei NG</v>
      </c>
      <c r="D117" s="19" t="s">
        <v>1489</v>
      </c>
      <c r="E117" s="19" t="s">
        <v>1711</v>
      </c>
      <c r="F117" s="19" t="s">
        <v>1491</v>
      </c>
      <c r="G117" s="19" t="s">
        <v>1712</v>
      </c>
      <c r="H117" s="19">
        <v>97706148</v>
      </c>
      <c r="I117" s="14"/>
      <c r="J117" s="14"/>
      <c r="K117" s="14"/>
      <c r="L117" s="14"/>
      <c r="M117" s="14"/>
    </row>
    <row r="118" spans="1:13" ht="12.5">
      <c r="A118" s="19" t="s">
        <v>842</v>
      </c>
      <c r="B118" s="19" t="s">
        <v>842</v>
      </c>
      <c r="C118" s="19" t="str">
        <f t="shared" si="1"/>
        <v>NA NA</v>
      </c>
      <c r="D118" s="19" t="s">
        <v>1489</v>
      </c>
      <c r="E118" s="19" t="s">
        <v>1713</v>
      </c>
      <c r="F118" s="19" t="s">
        <v>1491</v>
      </c>
      <c r="G118" s="19" t="s">
        <v>1493</v>
      </c>
      <c r="H118" s="19">
        <v>91690918</v>
      </c>
      <c r="I118" s="14"/>
      <c r="J118" s="14"/>
      <c r="K118" s="14"/>
      <c r="L118" s="14"/>
      <c r="M118" s="14"/>
    </row>
    <row r="119" spans="1:13" ht="23">
      <c r="A119" s="19" t="s">
        <v>4447</v>
      </c>
      <c r="B119" s="19" t="s">
        <v>4587</v>
      </c>
      <c r="C119" s="19" t="str">
        <f t="shared" si="1"/>
        <v>Rita Qi</v>
      </c>
      <c r="D119" s="19" t="s">
        <v>1489</v>
      </c>
      <c r="E119" s="19" t="s">
        <v>1714</v>
      </c>
      <c r="F119" s="19" t="s">
        <v>1491</v>
      </c>
      <c r="G119" s="19" t="s">
        <v>1715</v>
      </c>
      <c r="H119" s="19">
        <v>90173997</v>
      </c>
      <c r="I119" s="14"/>
      <c r="J119" s="14"/>
      <c r="K119" s="14"/>
      <c r="L119" s="14"/>
      <c r="M119" s="14"/>
    </row>
    <row r="120" spans="1:13" ht="23">
      <c r="A120" s="19" t="s">
        <v>4448</v>
      </c>
      <c r="B120" s="19" t="s">
        <v>372</v>
      </c>
      <c r="C120" s="19" t="str">
        <f t="shared" si="1"/>
        <v>Jeng Yih Tan</v>
      </c>
      <c r="D120" s="19" t="s">
        <v>1489</v>
      </c>
      <c r="E120" s="19" t="s">
        <v>1716</v>
      </c>
      <c r="F120" s="19" t="s">
        <v>1491</v>
      </c>
      <c r="G120" s="19" t="s">
        <v>1717</v>
      </c>
      <c r="H120" s="19">
        <v>86844552</v>
      </c>
      <c r="I120" s="14"/>
      <c r="J120" s="14"/>
      <c r="K120" s="14"/>
      <c r="L120" s="14"/>
      <c r="M120" s="14"/>
    </row>
    <row r="121" spans="1:13" ht="23">
      <c r="A121" s="19" t="s">
        <v>4449</v>
      </c>
      <c r="B121" s="19" t="s">
        <v>4588</v>
      </c>
      <c r="C121" s="19" t="str">
        <f t="shared" si="1"/>
        <v>Carol Loi</v>
      </c>
      <c r="D121" s="19" t="s">
        <v>1489</v>
      </c>
      <c r="E121" s="19" t="s">
        <v>1718</v>
      </c>
      <c r="F121" s="19" t="s">
        <v>1491</v>
      </c>
      <c r="G121" s="19" t="s">
        <v>1719</v>
      </c>
      <c r="H121" s="19">
        <v>91391746</v>
      </c>
      <c r="I121" s="14"/>
      <c r="J121" s="14"/>
      <c r="K121" s="14"/>
      <c r="L121" s="14"/>
      <c r="M121" s="14"/>
    </row>
    <row r="122" spans="1:13" ht="23">
      <c r="A122" s="19" t="s">
        <v>911</v>
      </c>
      <c r="B122" s="19" t="s">
        <v>4589</v>
      </c>
      <c r="C122" s="19" t="str">
        <f t="shared" si="1"/>
        <v>Nicole Nijman</v>
      </c>
      <c r="D122" s="19" t="s">
        <v>1489</v>
      </c>
      <c r="E122" s="19" t="s">
        <v>1720</v>
      </c>
      <c r="F122" s="19" t="s">
        <v>1491</v>
      </c>
      <c r="G122" s="19" t="s">
        <v>1721</v>
      </c>
      <c r="H122" s="19">
        <v>9546095493</v>
      </c>
      <c r="I122" s="14"/>
      <c r="J122" s="14"/>
      <c r="K122" s="14"/>
      <c r="L122" s="14"/>
      <c r="M122" s="14"/>
    </row>
    <row r="123" spans="1:13" ht="23">
      <c r="A123" s="19" t="s">
        <v>821</v>
      </c>
      <c r="B123" s="19" t="s">
        <v>842</v>
      </c>
      <c r="C123" s="19" t="str">
        <f t="shared" si="1"/>
        <v>Lee NA</v>
      </c>
      <c r="D123" s="19" t="s">
        <v>1489</v>
      </c>
      <c r="E123" s="19" t="s">
        <v>1722</v>
      </c>
      <c r="F123" s="19" t="s">
        <v>4</v>
      </c>
      <c r="G123" s="19" t="s">
        <v>1723</v>
      </c>
      <c r="H123" s="19">
        <v>91898878</v>
      </c>
      <c r="I123" s="14"/>
      <c r="J123" s="14"/>
      <c r="K123" s="14"/>
      <c r="L123" s="14"/>
      <c r="M123" s="14"/>
    </row>
    <row r="124" spans="1:13" ht="12.5">
      <c r="A124" s="19" t="s">
        <v>2794</v>
      </c>
      <c r="B124" s="19" t="s">
        <v>842</v>
      </c>
      <c r="C124" s="19" t="str">
        <f t="shared" si="1"/>
        <v>Joseph NA</v>
      </c>
      <c r="D124" s="19" t="s">
        <v>1489</v>
      </c>
      <c r="E124" s="19" t="s">
        <v>1724</v>
      </c>
      <c r="F124" s="19" t="s">
        <v>1491</v>
      </c>
      <c r="G124" s="19" t="s">
        <v>1493</v>
      </c>
      <c r="H124" s="19">
        <v>93292727</v>
      </c>
      <c r="I124" s="14"/>
      <c r="J124" s="14"/>
      <c r="K124" s="14"/>
      <c r="L124" s="14"/>
      <c r="M124" s="14"/>
    </row>
    <row r="125" spans="1:13" ht="23">
      <c r="A125" s="19" t="s">
        <v>4450</v>
      </c>
      <c r="B125" s="19" t="s">
        <v>842</v>
      </c>
      <c r="C125" s="19" t="str">
        <f t="shared" si="1"/>
        <v>Jana NA</v>
      </c>
      <c r="D125" s="19" t="s">
        <v>1489</v>
      </c>
      <c r="E125" s="19" t="s">
        <v>1725</v>
      </c>
      <c r="F125" s="19" t="s">
        <v>1491</v>
      </c>
      <c r="G125" s="19" t="s">
        <v>1726</v>
      </c>
      <c r="H125" s="19">
        <v>82547113</v>
      </c>
      <c r="I125" s="14"/>
      <c r="J125" s="14"/>
      <c r="K125" s="14"/>
      <c r="L125" s="14"/>
      <c r="M125" s="14"/>
    </row>
    <row r="126" spans="1:13" ht="23">
      <c r="A126" s="19" t="s">
        <v>4451</v>
      </c>
      <c r="B126" s="19" t="s">
        <v>842</v>
      </c>
      <c r="C126" s="19" t="str">
        <f t="shared" si="1"/>
        <v>Keat NA</v>
      </c>
      <c r="D126" s="19" t="s">
        <v>1489</v>
      </c>
      <c r="E126" s="19" t="s">
        <v>1727</v>
      </c>
      <c r="F126" s="19" t="s">
        <v>1491</v>
      </c>
      <c r="G126" s="19" t="s">
        <v>1728</v>
      </c>
      <c r="H126" s="19">
        <v>97201714</v>
      </c>
      <c r="I126" s="14"/>
      <c r="J126" s="14"/>
      <c r="K126" s="14"/>
      <c r="L126" s="14"/>
      <c r="M126" s="14"/>
    </row>
    <row r="127" spans="1:13" ht="34.5">
      <c r="A127" s="19" t="s">
        <v>4452</v>
      </c>
      <c r="B127" s="19" t="s">
        <v>842</v>
      </c>
      <c r="C127" s="19" t="str">
        <f t="shared" si="1"/>
        <v>Minying NA</v>
      </c>
      <c r="D127" s="19" t="s">
        <v>1489</v>
      </c>
      <c r="E127" s="19" t="s">
        <v>1729</v>
      </c>
      <c r="F127" s="19" t="s">
        <v>4</v>
      </c>
      <c r="G127" s="19" t="s">
        <v>1730</v>
      </c>
      <c r="H127" s="19">
        <v>91252473</v>
      </c>
      <c r="I127" s="14"/>
      <c r="J127" s="14"/>
      <c r="K127" s="14"/>
      <c r="L127" s="14"/>
      <c r="M127" s="14"/>
    </row>
    <row r="128" spans="1:13" ht="34.5">
      <c r="A128" s="19" t="s">
        <v>821</v>
      </c>
      <c r="B128" s="19" t="s">
        <v>842</v>
      </c>
      <c r="C128" s="19" t="str">
        <f t="shared" si="1"/>
        <v>Lee NA</v>
      </c>
      <c r="D128" s="19" t="s">
        <v>1489</v>
      </c>
      <c r="E128" s="19" t="s">
        <v>1731</v>
      </c>
      <c r="F128" s="19" t="s">
        <v>4</v>
      </c>
      <c r="G128" s="19" t="s">
        <v>1493</v>
      </c>
      <c r="H128" s="19">
        <v>96358322</v>
      </c>
      <c r="I128" s="14"/>
      <c r="J128" s="14"/>
      <c r="K128" s="14"/>
      <c r="L128" s="14"/>
      <c r="M128" s="14"/>
    </row>
    <row r="129" spans="1:13" ht="23">
      <c r="A129" s="19" t="s">
        <v>1732</v>
      </c>
      <c r="B129" s="19" t="s">
        <v>4590</v>
      </c>
      <c r="C129" s="19" t="str">
        <f t="shared" si="1"/>
        <v>JY TAN</v>
      </c>
      <c r="D129" s="19" t="s">
        <v>1489</v>
      </c>
      <c r="E129" s="19" t="s">
        <v>1733</v>
      </c>
      <c r="F129" s="19" t="s">
        <v>1491</v>
      </c>
      <c r="G129" s="19" t="s">
        <v>1734</v>
      </c>
      <c r="H129" s="19">
        <v>93363088</v>
      </c>
      <c r="I129" s="14"/>
      <c r="J129" s="14"/>
      <c r="K129" s="14"/>
      <c r="L129" s="14"/>
      <c r="M129" s="14"/>
    </row>
    <row r="130" spans="1:13" ht="23">
      <c r="A130" s="19" t="s">
        <v>4453</v>
      </c>
      <c r="B130" s="19" t="s">
        <v>878</v>
      </c>
      <c r="C130" s="19" t="str">
        <f t="shared" si="1"/>
        <v>Dorin Koh</v>
      </c>
      <c r="D130" s="19" t="s">
        <v>1489</v>
      </c>
      <c r="E130" s="19" t="s">
        <v>1735</v>
      </c>
      <c r="F130" s="19" t="s">
        <v>4</v>
      </c>
      <c r="G130" s="19" t="s">
        <v>1736</v>
      </c>
      <c r="H130" s="19" t="s">
        <v>1737</v>
      </c>
      <c r="I130" s="14"/>
      <c r="J130" s="14"/>
      <c r="K130" s="14"/>
      <c r="L130" s="14"/>
      <c r="M130" s="14"/>
    </row>
    <row r="131" spans="1:13" ht="12.5">
      <c r="A131" s="19" t="s">
        <v>842</v>
      </c>
      <c r="B131" s="19" t="s">
        <v>4394</v>
      </c>
      <c r="C131" s="19" t="str">
        <f t="shared" ref="C131:C194" si="2">_xlfn.CONCAT(A131," ",B131)</f>
        <v xml:space="preserve">NA </v>
      </c>
      <c r="D131" s="19" t="s">
        <v>1489</v>
      </c>
      <c r="E131" s="19" t="s">
        <v>1738</v>
      </c>
      <c r="F131" s="19" t="s">
        <v>4</v>
      </c>
      <c r="G131" s="19"/>
      <c r="H131" s="19">
        <v>96965137</v>
      </c>
      <c r="I131" s="14"/>
      <c r="J131" s="14"/>
      <c r="K131" s="14"/>
      <c r="L131" s="14"/>
      <c r="M131" s="14"/>
    </row>
    <row r="132" spans="1:13" ht="23">
      <c r="A132" s="19" t="s">
        <v>1739</v>
      </c>
      <c r="B132" s="19" t="s">
        <v>842</v>
      </c>
      <c r="C132" s="19" t="str">
        <f t="shared" si="2"/>
        <v>Jose NA</v>
      </c>
      <c r="D132" s="19" t="s">
        <v>1489</v>
      </c>
      <c r="E132" s="19" t="s">
        <v>1740</v>
      </c>
      <c r="F132" s="19" t="s">
        <v>1491</v>
      </c>
      <c r="G132" s="19" t="s">
        <v>842</v>
      </c>
      <c r="H132" s="19">
        <v>94571132</v>
      </c>
      <c r="I132" s="14"/>
      <c r="J132" s="14"/>
      <c r="K132" s="14"/>
      <c r="L132" s="14"/>
      <c r="M132" s="14"/>
    </row>
    <row r="133" spans="1:13" ht="23">
      <c r="A133" s="19" t="s">
        <v>4454</v>
      </c>
      <c r="B133" s="19" t="s">
        <v>842</v>
      </c>
      <c r="C133" s="19" t="str">
        <f t="shared" si="2"/>
        <v>Vernon NA</v>
      </c>
      <c r="D133" s="19" t="s">
        <v>1489</v>
      </c>
      <c r="E133" s="19" t="s">
        <v>1741</v>
      </c>
      <c r="F133" s="19" t="s">
        <v>4</v>
      </c>
      <c r="G133" s="19" t="s">
        <v>1742</v>
      </c>
      <c r="H133" s="19">
        <v>83285256</v>
      </c>
      <c r="I133" s="14"/>
      <c r="J133" s="14"/>
      <c r="K133" s="14"/>
      <c r="L133" s="14"/>
      <c r="M133" s="14"/>
    </row>
    <row r="134" spans="1:13" ht="34.5">
      <c r="A134" s="19" t="s">
        <v>1231</v>
      </c>
      <c r="B134" s="19" t="s">
        <v>842</v>
      </c>
      <c r="C134" s="19" t="str">
        <f t="shared" si="2"/>
        <v>Shaun NA</v>
      </c>
      <c r="D134" s="19" t="s">
        <v>1489</v>
      </c>
      <c r="E134" s="19" t="s">
        <v>1743</v>
      </c>
      <c r="F134" s="19" t="s">
        <v>1491</v>
      </c>
      <c r="G134" s="19" t="s">
        <v>1744</v>
      </c>
      <c r="H134" s="19">
        <v>6593387773</v>
      </c>
      <c r="I134" s="14"/>
      <c r="J134" s="14"/>
      <c r="K134" s="14"/>
      <c r="L134" s="14"/>
      <c r="M134" s="14"/>
    </row>
    <row r="135" spans="1:13" ht="23">
      <c r="A135" s="19" t="s">
        <v>1745</v>
      </c>
      <c r="B135" s="19" t="s">
        <v>842</v>
      </c>
      <c r="C135" s="19" t="str">
        <f t="shared" si="2"/>
        <v>Michelle NA</v>
      </c>
      <c r="D135" s="19" t="s">
        <v>1489</v>
      </c>
      <c r="E135" s="19" t="s">
        <v>1746</v>
      </c>
      <c r="F135" s="19" t="s">
        <v>4</v>
      </c>
      <c r="G135" s="19" t="s">
        <v>1747</v>
      </c>
      <c r="H135" s="19">
        <v>97979532</v>
      </c>
      <c r="I135" s="14"/>
      <c r="J135" s="14"/>
      <c r="K135" s="14"/>
      <c r="L135" s="14"/>
      <c r="M135" s="14"/>
    </row>
    <row r="136" spans="1:13" ht="23">
      <c r="A136" s="19" t="s">
        <v>1007</v>
      </c>
      <c r="B136" s="19" t="s">
        <v>842</v>
      </c>
      <c r="C136" s="19" t="str">
        <f t="shared" si="2"/>
        <v>Kevin NA</v>
      </c>
      <c r="D136" s="19" t="s">
        <v>1489</v>
      </c>
      <c r="E136" s="19" t="s">
        <v>1748</v>
      </c>
      <c r="F136" s="19" t="s">
        <v>4</v>
      </c>
      <c r="G136" s="19" t="s">
        <v>1749</v>
      </c>
      <c r="H136" s="19">
        <v>91874028</v>
      </c>
      <c r="I136" s="14"/>
      <c r="J136" s="14"/>
      <c r="K136" s="14"/>
      <c r="L136" s="14"/>
      <c r="M136" s="14"/>
    </row>
    <row r="137" spans="1:13" ht="12.5">
      <c r="A137" s="19" t="s">
        <v>842</v>
      </c>
      <c r="B137" s="19" t="s">
        <v>842</v>
      </c>
      <c r="C137" s="19" t="str">
        <f t="shared" si="2"/>
        <v>NA NA</v>
      </c>
      <c r="D137" s="19" t="s">
        <v>1489</v>
      </c>
      <c r="E137" s="19" t="s">
        <v>1750</v>
      </c>
      <c r="F137" s="19" t="s">
        <v>1491</v>
      </c>
      <c r="G137" s="19" t="s">
        <v>842</v>
      </c>
      <c r="H137" s="19">
        <v>91256369</v>
      </c>
      <c r="I137" s="14"/>
      <c r="J137" s="14"/>
      <c r="K137" s="14"/>
      <c r="L137" s="14"/>
      <c r="M137" s="14"/>
    </row>
    <row r="138" spans="1:13" ht="34.5">
      <c r="A138" s="19" t="s">
        <v>1751</v>
      </c>
      <c r="B138" s="19" t="s">
        <v>842</v>
      </c>
      <c r="C138" s="19" t="str">
        <f t="shared" si="2"/>
        <v>Lin NA</v>
      </c>
      <c r="D138" s="19" t="s">
        <v>1489</v>
      </c>
      <c r="E138" s="19" t="s">
        <v>1752</v>
      </c>
      <c r="F138" s="19" t="s">
        <v>1491</v>
      </c>
      <c r="G138" s="19" t="s">
        <v>1753</v>
      </c>
      <c r="H138" s="19">
        <v>82188718</v>
      </c>
      <c r="I138" s="14"/>
      <c r="J138" s="14"/>
      <c r="K138" s="14"/>
      <c r="L138" s="14"/>
      <c r="M138" s="14"/>
    </row>
    <row r="139" spans="1:13" ht="23">
      <c r="A139" s="19" t="s">
        <v>842</v>
      </c>
      <c r="B139" s="19" t="s">
        <v>842</v>
      </c>
      <c r="C139" s="19" t="str">
        <f t="shared" si="2"/>
        <v>NA NA</v>
      </c>
      <c r="D139" s="19" t="s">
        <v>1489</v>
      </c>
      <c r="E139" s="19" t="s">
        <v>1754</v>
      </c>
      <c r="F139" s="19" t="s">
        <v>1491</v>
      </c>
      <c r="G139" s="19" t="s">
        <v>842</v>
      </c>
      <c r="H139" s="19">
        <v>92236613</v>
      </c>
      <c r="I139" s="14"/>
      <c r="J139" s="14"/>
      <c r="K139" s="14"/>
      <c r="L139" s="14"/>
      <c r="M139" s="14"/>
    </row>
    <row r="140" spans="1:13" ht="12.5">
      <c r="A140" s="19" t="s">
        <v>4455</v>
      </c>
      <c r="B140" s="19" t="s">
        <v>842</v>
      </c>
      <c r="C140" s="19" t="str">
        <f t="shared" si="2"/>
        <v>Tom NA</v>
      </c>
      <c r="D140" s="19" t="s">
        <v>1489</v>
      </c>
      <c r="E140" s="19" t="s">
        <v>1755</v>
      </c>
      <c r="F140" s="19" t="s">
        <v>1491</v>
      </c>
      <c r="G140" s="19" t="s">
        <v>842</v>
      </c>
      <c r="H140" s="19" t="s">
        <v>842</v>
      </c>
      <c r="I140" s="14"/>
      <c r="J140" s="14"/>
      <c r="K140" s="14"/>
      <c r="L140" s="14"/>
      <c r="M140" s="14"/>
    </row>
    <row r="141" spans="1:13" ht="34.5">
      <c r="A141" s="19" t="s">
        <v>842</v>
      </c>
      <c r="B141" s="19" t="s">
        <v>842</v>
      </c>
      <c r="C141" s="19" t="str">
        <f t="shared" si="2"/>
        <v>NA NA</v>
      </c>
      <c r="D141" s="19" t="s">
        <v>1489</v>
      </c>
      <c r="E141" s="19" t="s">
        <v>1756</v>
      </c>
      <c r="F141" s="19" t="s">
        <v>1491</v>
      </c>
      <c r="G141" s="19" t="s">
        <v>1757</v>
      </c>
      <c r="H141" s="19" t="s">
        <v>842</v>
      </c>
      <c r="I141" s="14"/>
      <c r="J141" s="14"/>
      <c r="K141" s="14"/>
      <c r="L141" s="14"/>
      <c r="M141" s="14"/>
    </row>
    <row r="142" spans="1:13" ht="23">
      <c r="A142" s="19" t="s">
        <v>702</v>
      </c>
      <c r="B142" s="19" t="s">
        <v>842</v>
      </c>
      <c r="C142" s="19" t="str">
        <f t="shared" si="2"/>
        <v>Lim NA</v>
      </c>
      <c r="D142" s="19" t="s">
        <v>1489</v>
      </c>
      <c r="E142" s="19" t="s">
        <v>1758</v>
      </c>
      <c r="F142" s="19" t="s">
        <v>1491</v>
      </c>
      <c r="G142" s="19">
        <v>6597200079</v>
      </c>
      <c r="H142" s="19" t="s">
        <v>1759</v>
      </c>
      <c r="I142" s="14"/>
      <c r="J142" s="14"/>
      <c r="K142" s="14"/>
      <c r="L142" s="14"/>
      <c r="M142" s="14"/>
    </row>
    <row r="143" spans="1:13" ht="46">
      <c r="A143" s="19" t="s">
        <v>743</v>
      </c>
      <c r="B143" s="19" t="s">
        <v>842</v>
      </c>
      <c r="C143" s="19" t="str">
        <f t="shared" si="2"/>
        <v>Christopher NA</v>
      </c>
      <c r="D143" s="19" t="s">
        <v>1489</v>
      </c>
      <c r="E143" s="19" t="s">
        <v>1760</v>
      </c>
      <c r="F143" s="19" t="s">
        <v>1491</v>
      </c>
      <c r="G143" s="19">
        <v>90055588</v>
      </c>
      <c r="H143" s="19" t="s">
        <v>1761</v>
      </c>
      <c r="I143" s="14"/>
      <c r="J143" s="14"/>
      <c r="K143" s="14"/>
      <c r="L143" s="14"/>
      <c r="M143" s="14"/>
    </row>
    <row r="144" spans="1:13" ht="34.5">
      <c r="A144" s="19" t="s">
        <v>1762</v>
      </c>
      <c r="B144" s="19" t="s">
        <v>842</v>
      </c>
      <c r="C144" s="19" t="str">
        <f t="shared" si="2"/>
        <v>Koshae NA</v>
      </c>
      <c r="D144" s="19" t="s">
        <v>1489</v>
      </c>
      <c r="E144" s="19" t="s">
        <v>1763</v>
      </c>
      <c r="F144" s="19" t="s">
        <v>1491</v>
      </c>
      <c r="G144" s="19">
        <v>96235519</v>
      </c>
      <c r="H144" s="19" t="s">
        <v>1764</v>
      </c>
      <c r="I144" s="14"/>
      <c r="J144" s="14"/>
      <c r="K144" s="14"/>
      <c r="L144" s="14"/>
      <c r="M144" s="14"/>
    </row>
    <row r="145" spans="1:13" ht="12.5">
      <c r="A145" s="19" t="s">
        <v>702</v>
      </c>
      <c r="B145" s="19" t="s">
        <v>842</v>
      </c>
      <c r="C145" s="19" t="str">
        <f t="shared" si="2"/>
        <v>Lim NA</v>
      </c>
      <c r="D145" s="19" t="s">
        <v>1489</v>
      </c>
      <c r="E145" s="19" t="s">
        <v>1765</v>
      </c>
      <c r="F145" s="19" t="s">
        <v>1491</v>
      </c>
      <c r="G145" s="19">
        <v>86868656</v>
      </c>
      <c r="H145" s="19" t="s">
        <v>842</v>
      </c>
      <c r="I145" s="14"/>
      <c r="J145" s="14"/>
      <c r="K145" s="14"/>
      <c r="L145" s="14"/>
      <c r="M145" s="14"/>
    </row>
    <row r="146" spans="1:13" ht="34.5">
      <c r="A146" s="19" t="s">
        <v>1104</v>
      </c>
      <c r="B146" s="19" t="s">
        <v>842</v>
      </c>
      <c r="C146" s="19" t="str">
        <f t="shared" si="2"/>
        <v>Shawn NA</v>
      </c>
      <c r="D146" s="19" t="s">
        <v>1489</v>
      </c>
      <c r="E146" s="19" t="s">
        <v>1766</v>
      </c>
      <c r="F146" s="19" t="s">
        <v>1491</v>
      </c>
      <c r="G146" s="19">
        <v>6590237766</v>
      </c>
      <c r="H146" s="19" t="s">
        <v>1767</v>
      </c>
      <c r="I146" s="14"/>
      <c r="J146" s="14"/>
      <c r="K146" s="14"/>
      <c r="L146" s="14"/>
      <c r="M146" s="14"/>
    </row>
    <row r="147" spans="1:13" ht="23">
      <c r="A147" s="19" t="s">
        <v>4456</v>
      </c>
      <c r="B147" s="19" t="s">
        <v>4591</v>
      </c>
      <c r="C147" s="19" t="str">
        <f t="shared" si="2"/>
        <v>Ku Kuei How</v>
      </c>
      <c r="D147" s="19" t="s">
        <v>1489</v>
      </c>
      <c r="E147" s="19" t="s">
        <v>1768</v>
      </c>
      <c r="F147" s="19" t="s">
        <v>1491</v>
      </c>
      <c r="G147" s="19">
        <v>143183867</v>
      </c>
      <c r="H147" s="19" t="s">
        <v>1769</v>
      </c>
      <c r="I147" s="14"/>
      <c r="J147" s="14"/>
      <c r="K147" s="14"/>
      <c r="L147" s="14"/>
      <c r="M147" s="14"/>
    </row>
    <row r="148" spans="1:13" ht="34.5">
      <c r="A148" s="19" t="s">
        <v>4457</v>
      </c>
      <c r="B148" s="19" t="s">
        <v>842</v>
      </c>
      <c r="C148" s="19" t="str">
        <f t="shared" si="2"/>
        <v>Ashiq NA</v>
      </c>
      <c r="D148" s="19" t="s">
        <v>1489</v>
      </c>
      <c r="E148" s="19" t="s">
        <v>1770</v>
      </c>
      <c r="F148" s="19" t="s">
        <v>1491</v>
      </c>
      <c r="G148" s="19">
        <v>88115440</v>
      </c>
      <c r="H148" s="19" t="s">
        <v>1771</v>
      </c>
      <c r="I148" s="14"/>
      <c r="J148" s="14"/>
      <c r="K148" s="14"/>
      <c r="L148" s="14"/>
      <c r="M148" s="14"/>
    </row>
    <row r="149" spans="1:13" ht="34.5">
      <c r="A149" s="19" t="s">
        <v>4458</v>
      </c>
      <c r="B149" s="19" t="s">
        <v>907</v>
      </c>
      <c r="C149" s="19" t="str">
        <f t="shared" si="2"/>
        <v>Jeric Goh</v>
      </c>
      <c r="D149" s="19" t="s">
        <v>1489</v>
      </c>
      <c r="E149" s="19" t="s">
        <v>1772</v>
      </c>
      <c r="F149" s="19" t="s">
        <v>1491</v>
      </c>
      <c r="G149" s="19">
        <v>91296625</v>
      </c>
      <c r="H149" s="19" t="s">
        <v>1773</v>
      </c>
      <c r="I149" s="14"/>
      <c r="J149" s="14"/>
      <c r="K149" s="14"/>
      <c r="L149" s="14"/>
      <c r="M149" s="14"/>
    </row>
    <row r="150" spans="1:13" ht="34.5">
      <c r="A150" s="19" t="s">
        <v>4459</v>
      </c>
      <c r="B150" s="19" t="s">
        <v>4592</v>
      </c>
      <c r="C150" s="19" t="str">
        <f t="shared" si="2"/>
        <v>Kristen TXY</v>
      </c>
      <c r="D150" s="19" t="s">
        <v>1489</v>
      </c>
      <c r="E150" s="19" t="s">
        <v>1774</v>
      </c>
      <c r="F150" s="19" t="s">
        <v>1491</v>
      </c>
      <c r="G150" s="19">
        <v>642108702430</v>
      </c>
      <c r="H150" s="19" t="s">
        <v>1775</v>
      </c>
      <c r="I150" s="14"/>
      <c r="J150" s="14"/>
      <c r="K150" s="14"/>
      <c r="L150" s="14"/>
      <c r="M150" s="14"/>
    </row>
    <row r="151" spans="1:13" ht="34.5">
      <c r="A151" s="19" t="s">
        <v>694</v>
      </c>
      <c r="B151" s="19" t="s">
        <v>4593</v>
      </c>
      <c r="C151" s="19" t="str">
        <f t="shared" si="2"/>
        <v>John Thang</v>
      </c>
      <c r="D151" s="19" t="s">
        <v>1489</v>
      </c>
      <c r="E151" s="19" t="s">
        <v>1776</v>
      </c>
      <c r="F151" s="19" t="s">
        <v>1491</v>
      </c>
      <c r="G151" s="19">
        <v>98194211</v>
      </c>
      <c r="H151" s="19" t="s">
        <v>1777</v>
      </c>
      <c r="I151" s="14"/>
      <c r="J151" s="14"/>
      <c r="K151" s="14"/>
      <c r="L151" s="14"/>
      <c r="M151" s="14"/>
    </row>
    <row r="152" spans="1:13" ht="34.5">
      <c r="A152" s="19" t="s">
        <v>1778</v>
      </c>
      <c r="B152" s="19" t="s">
        <v>329</v>
      </c>
      <c r="C152" s="19" t="str">
        <f t="shared" si="2"/>
        <v>Liang Neo</v>
      </c>
      <c r="D152" s="19" t="s">
        <v>1489</v>
      </c>
      <c r="E152" s="19" t="s">
        <v>1779</v>
      </c>
      <c r="F152" s="19" t="s">
        <v>1491</v>
      </c>
      <c r="G152" s="19">
        <v>92965861</v>
      </c>
      <c r="H152" s="19" t="s">
        <v>1780</v>
      </c>
      <c r="I152" s="14"/>
      <c r="J152" s="14"/>
      <c r="K152" s="14"/>
      <c r="L152" s="14"/>
      <c r="M152" s="14"/>
    </row>
    <row r="153" spans="1:13" ht="23">
      <c r="A153" s="19" t="s">
        <v>4460</v>
      </c>
      <c r="B153" s="19" t="s">
        <v>842</v>
      </c>
      <c r="C153" s="19" t="str">
        <f t="shared" si="2"/>
        <v>Tong NA</v>
      </c>
      <c r="D153" s="19" t="s">
        <v>1489</v>
      </c>
      <c r="E153" s="19" t="s">
        <v>1781</v>
      </c>
      <c r="F153" s="19" t="s">
        <v>1491</v>
      </c>
      <c r="G153" s="19">
        <v>88099600</v>
      </c>
      <c r="H153" s="19" t="s">
        <v>1782</v>
      </c>
      <c r="I153" s="14"/>
      <c r="J153" s="14"/>
      <c r="K153" s="14"/>
      <c r="L153" s="14"/>
      <c r="M153" s="14"/>
    </row>
    <row r="154" spans="1:13" ht="34.5">
      <c r="A154" s="19" t="s">
        <v>807</v>
      </c>
      <c r="B154" s="19" t="s">
        <v>1150</v>
      </c>
      <c r="C154" s="19" t="str">
        <f t="shared" si="2"/>
        <v>Nicholas Chee</v>
      </c>
      <c r="D154" s="19" t="s">
        <v>1489</v>
      </c>
      <c r="E154" s="19" t="s">
        <v>1783</v>
      </c>
      <c r="F154" s="19" t="s">
        <v>4</v>
      </c>
      <c r="G154" s="19">
        <v>98944354</v>
      </c>
      <c r="H154" s="19" t="s">
        <v>1784</v>
      </c>
      <c r="I154" s="14"/>
      <c r="J154" s="14"/>
      <c r="K154" s="14"/>
      <c r="L154" s="14"/>
      <c r="M154" s="14"/>
    </row>
    <row r="155" spans="1:13" ht="34.5">
      <c r="A155" s="19" t="s">
        <v>1785</v>
      </c>
      <c r="B155" s="19" t="s">
        <v>4460</v>
      </c>
      <c r="C155" s="19" t="str">
        <f t="shared" si="2"/>
        <v>Louis Tong</v>
      </c>
      <c r="D155" s="19" t="s">
        <v>1489</v>
      </c>
      <c r="E155" s="19" t="s">
        <v>1786</v>
      </c>
      <c r="F155" s="19" t="s">
        <v>4</v>
      </c>
      <c r="G155" s="19">
        <v>92289166</v>
      </c>
      <c r="H155" s="19" t="s">
        <v>1787</v>
      </c>
      <c r="I155" s="14"/>
      <c r="J155" s="14"/>
      <c r="K155" s="14"/>
      <c r="L155" s="14"/>
      <c r="M155" s="14"/>
    </row>
    <row r="156" spans="1:13" ht="23">
      <c r="A156" s="19" t="s">
        <v>821</v>
      </c>
      <c r="B156" s="19" t="s">
        <v>842</v>
      </c>
      <c r="C156" s="19" t="str">
        <f t="shared" si="2"/>
        <v>Lee NA</v>
      </c>
      <c r="D156" s="19" t="s">
        <v>1489</v>
      </c>
      <c r="E156" s="19" t="s">
        <v>1788</v>
      </c>
      <c r="F156" s="19" t="s">
        <v>1491</v>
      </c>
      <c r="G156" s="19" t="s">
        <v>1789</v>
      </c>
      <c r="H156" s="19" t="s">
        <v>842</v>
      </c>
      <c r="I156" s="14"/>
      <c r="J156" s="14"/>
      <c r="K156" s="14"/>
      <c r="L156" s="14"/>
      <c r="M156" s="14"/>
    </row>
    <row r="157" spans="1:13" ht="46">
      <c r="A157" s="19" t="s">
        <v>821</v>
      </c>
      <c r="B157" s="19" t="s">
        <v>4594</v>
      </c>
      <c r="C157" s="19" t="str">
        <f t="shared" si="2"/>
        <v>Lee Shwu</v>
      </c>
      <c r="D157" s="19" t="s">
        <v>1489</v>
      </c>
      <c r="E157" s="19" t="s">
        <v>1790</v>
      </c>
      <c r="F157" s="19" t="s">
        <v>1491</v>
      </c>
      <c r="G157" s="19">
        <v>82983464</v>
      </c>
      <c r="H157" s="19" t="s">
        <v>1791</v>
      </c>
      <c r="I157" s="14"/>
      <c r="J157" s="14"/>
      <c r="K157" s="14"/>
      <c r="L157" s="14"/>
      <c r="M157" s="14"/>
    </row>
    <row r="158" spans="1:13" ht="12.5">
      <c r="A158" s="19" t="s">
        <v>694</v>
      </c>
      <c r="B158" s="19" t="s">
        <v>842</v>
      </c>
      <c r="C158" s="19" t="str">
        <f t="shared" si="2"/>
        <v>John NA</v>
      </c>
      <c r="D158" s="19" t="s">
        <v>1489</v>
      </c>
      <c r="E158" s="19" t="s">
        <v>1792</v>
      </c>
      <c r="F158" s="19" t="s">
        <v>1491</v>
      </c>
      <c r="G158" s="19">
        <v>97456382</v>
      </c>
      <c r="H158" s="19" t="s">
        <v>842</v>
      </c>
      <c r="I158" s="14"/>
      <c r="J158" s="14"/>
      <c r="K158" s="14"/>
      <c r="L158" s="14"/>
      <c r="M158" s="14"/>
    </row>
    <row r="159" spans="1:13" ht="23">
      <c r="A159" s="19" t="s">
        <v>4461</v>
      </c>
      <c r="B159" s="19" t="s">
        <v>842</v>
      </c>
      <c r="C159" s="19" t="str">
        <f t="shared" si="2"/>
        <v>Soi NA</v>
      </c>
      <c r="D159" s="19" t="s">
        <v>1489</v>
      </c>
      <c r="E159" s="19" t="s">
        <v>1793</v>
      </c>
      <c r="F159" s="19" t="s">
        <v>1491</v>
      </c>
      <c r="G159" s="19" t="s">
        <v>1794</v>
      </c>
      <c r="H159" s="19">
        <v>98558883</v>
      </c>
      <c r="I159" s="14"/>
      <c r="J159" s="14"/>
      <c r="K159" s="14"/>
      <c r="L159" s="14"/>
      <c r="M159" s="14"/>
    </row>
    <row r="160" spans="1:13" ht="34.5">
      <c r="A160" s="19" t="s">
        <v>1795</v>
      </c>
      <c r="B160" s="19" t="s">
        <v>372</v>
      </c>
      <c r="C160" s="19" t="str">
        <f t="shared" si="2"/>
        <v xml:space="preserve">
Dylan Tan</v>
      </c>
      <c r="D160" s="19" t="s">
        <v>1489</v>
      </c>
      <c r="E160" s="19" t="s">
        <v>1796</v>
      </c>
      <c r="F160" s="19" t="s">
        <v>1491</v>
      </c>
      <c r="G160" s="19" t="s">
        <v>1797</v>
      </c>
      <c r="H160" s="19">
        <v>93837991</v>
      </c>
      <c r="I160" s="14"/>
      <c r="J160" s="14"/>
      <c r="K160" s="14"/>
      <c r="L160" s="14"/>
      <c r="M160" s="14"/>
    </row>
    <row r="161" spans="1:13" ht="23">
      <c r="A161" s="19" t="s">
        <v>842</v>
      </c>
      <c r="B161" s="19" t="s">
        <v>842</v>
      </c>
      <c r="C161" s="19" t="str">
        <f t="shared" si="2"/>
        <v>NA NA</v>
      </c>
      <c r="D161" s="19" t="s">
        <v>1489</v>
      </c>
      <c r="E161" s="19" t="s">
        <v>1798</v>
      </c>
      <c r="F161" s="19" t="s">
        <v>1491</v>
      </c>
      <c r="G161" s="19" t="s">
        <v>842</v>
      </c>
      <c r="H161" s="19" t="s">
        <v>1799</v>
      </c>
      <c r="I161" s="14"/>
      <c r="J161" s="14"/>
      <c r="K161" s="14"/>
      <c r="L161" s="14"/>
      <c r="M161" s="14"/>
    </row>
    <row r="162" spans="1:13" ht="34.5">
      <c r="A162" s="19" t="s">
        <v>1800</v>
      </c>
      <c r="B162" s="19" t="s">
        <v>4595</v>
      </c>
      <c r="C162" s="19" t="str">
        <f t="shared" si="2"/>
        <v xml:space="preserve">
Charissa Lamba</v>
      </c>
      <c r="D162" s="19" t="s">
        <v>1489</v>
      </c>
      <c r="E162" s="19" t="s">
        <v>1801</v>
      </c>
      <c r="F162" s="19" t="s">
        <v>1491</v>
      </c>
      <c r="G162" s="19" t="s">
        <v>1802</v>
      </c>
      <c r="H162" s="19">
        <v>62583366</v>
      </c>
      <c r="I162" s="14"/>
      <c r="J162" s="14"/>
      <c r="K162" s="14"/>
      <c r="L162" s="14"/>
      <c r="M162" s="14"/>
    </row>
    <row r="163" spans="1:13" ht="12.5">
      <c r="A163" s="19" t="s">
        <v>2</v>
      </c>
      <c r="B163" s="19" t="s">
        <v>842</v>
      </c>
      <c r="C163" s="19" t="str">
        <f t="shared" si="2"/>
        <v>email NA</v>
      </c>
      <c r="D163" s="19" t="s">
        <v>1489</v>
      </c>
      <c r="E163" s="19" t="s">
        <v>1803</v>
      </c>
      <c r="F163" s="19" t="s">
        <v>1491</v>
      </c>
      <c r="G163" s="19" t="s">
        <v>842</v>
      </c>
      <c r="H163" s="19">
        <v>84286440</v>
      </c>
      <c r="I163" s="14"/>
      <c r="J163" s="14"/>
      <c r="K163" s="14"/>
      <c r="L163" s="14"/>
      <c r="M163" s="14"/>
    </row>
    <row r="164" spans="1:13" ht="34.5">
      <c r="A164" s="19" t="s">
        <v>1804</v>
      </c>
      <c r="B164" s="19" t="s">
        <v>1805</v>
      </c>
      <c r="C164" s="19" t="str">
        <f t="shared" si="2"/>
        <v xml:space="preserve">
James 
Chua</v>
      </c>
      <c r="D164" s="19" t="s">
        <v>1489</v>
      </c>
      <c r="E164" s="19" t="s">
        <v>1806</v>
      </c>
      <c r="F164" s="19" t="s">
        <v>1491</v>
      </c>
      <c r="G164" s="19" t="s">
        <v>1807</v>
      </c>
      <c r="H164" s="19">
        <v>88071759</v>
      </c>
      <c r="I164" s="14"/>
      <c r="J164" s="14"/>
      <c r="K164" s="14"/>
      <c r="L164" s="14"/>
      <c r="M164" s="14"/>
    </row>
    <row r="165" spans="1:13" ht="12.5">
      <c r="A165" s="19" t="s">
        <v>1161</v>
      </c>
      <c r="B165" s="19" t="s">
        <v>372</v>
      </c>
      <c r="C165" s="19" t="str">
        <f t="shared" si="2"/>
        <v>Eugene Tan</v>
      </c>
      <c r="D165" s="19" t="s">
        <v>1489</v>
      </c>
      <c r="E165" s="19" t="s">
        <v>1808</v>
      </c>
      <c r="F165" s="19" t="s">
        <v>1491</v>
      </c>
      <c r="G165" s="19" t="s">
        <v>1809</v>
      </c>
      <c r="H165" s="19">
        <v>93803986</v>
      </c>
      <c r="I165" s="14"/>
      <c r="J165" s="14"/>
      <c r="K165" s="14"/>
      <c r="L165" s="14"/>
      <c r="M165" s="14"/>
    </row>
    <row r="166" spans="1:13" ht="12.5">
      <c r="A166" s="19" t="s">
        <v>842</v>
      </c>
      <c r="B166" s="19" t="s">
        <v>842</v>
      </c>
      <c r="C166" s="19" t="str">
        <f t="shared" si="2"/>
        <v>NA NA</v>
      </c>
      <c r="D166" s="19" t="s">
        <v>1489</v>
      </c>
      <c r="E166" s="19" t="s">
        <v>1810</v>
      </c>
      <c r="F166" s="19" t="s">
        <v>1491</v>
      </c>
      <c r="G166" s="19" t="s">
        <v>842</v>
      </c>
      <c r="H166" s="19">
        <v>91919411</v>
      </c>
      <c r="I166" s="14"/>
      <c r="J166" s="14"/>
      <c r="K166" s="14"/>
      <c r="L166" s="14"/>
      <c r="M166" s="14"/>
    </row>
    <row r="167" spans="1:13" ht="23">
      <c r="A167" s="19" t="s">
        <v>4462</v>
      </c>
      <c r="B167" s="19" t="s">
        <v>1811</v>
      </c>
      <c r="C167" s="19" t="str">
        <f t="shared" si="2"/>
        <v>Alfian Haidzer</v>
      </c>
      <c r="D167" s="19" t="s">
        <v>1489</v>
      </c>
      <c r="E167" s="19" t="s">
        <v>1812</v>
      </c>
      <c r="F167" s="19" t="s">
        <v>1491</v>
      </c>
      <c r="G167" s="19" t="s">
        <v>1813</v>
      </c>
      <c r="H167" s="19">
        <v>90036163</v>
      </c>
      <c r="I167" s="14"/>
      <c r="J167" s="14"/>
      <c r="K167" s="14"/>
      <c r="L167" s="14"/>
      <c r="M167" s="14"/>
    </row>
    <row r="168" spans="1:13" ht="23">
      <c r="A168" s="19" t="s">
        <v>869</v>
      </c>
      <c r="B168" s="19" t="s">
        <v>3810</v>
      </c>
      <c r="C168" s="19" t="str">
        <f t="shared" si="2"/>
        <v>Wei Soon</v>
      </c>
      <c r="D168" s="19" t="s">
        <v>1489</v>
      </c>
      <c r="E168" s="19" t="s">
        <v>1814</v>
      </c>
      <c r="F168" s="19" t="s">
        <v>1491</v>
      </c>
      <c r="G168" s="19" t="s">
        <v>1815</v>
      </c>
      <c r="H168" s="19">
        <v>98802025</v>
      </c>
      <c r="I168" s="14"/>
      <c r="J168" s="14"/>
      <c r="K168" s="14"/>
      <c r="L168" s="14"/>
      <c r="M168" s="14"/>
    </row>
    <row r="169" spans="1:13" ht="23">
      <c r="A169" s="19" t="s">
        <v>842</v>
      </c>
      <c r="B169" s="19" t="s">
        <v>842</v>
      </c>
      <c r="C169" s="19" t="str">
        <f t="shared" si="2"/>
        <v>NA NA</v>
      </c>
      <c r="D169" s="19" t="s">
        <v>1489</v>
      </c>
      <c r="E169" s="19" t="s">
        <v>1816</v>
      </c>
      <c r="F169" s="19" t="s">
        <v>1491</v>
      </c>
      <c r="G169" s="19" t="s">
        <v>1817</v>
      </c>
      <c r="H169" s="19" t="s">
        <v>842</v>
      </c>
      <c r="I169" s="14"/>
      <c r="J169" s="14"/>
      <c r="K169" s="14"/>
      <c r="L169" s="14"/>
      <c r="M169" s="14"/>
    </row>
    <row r="170" spans="1:13" ht="34.5">
      <c r="A170" s="19" t="s">
        <v>1818</v>
      </c>
      <c r="B170" s="19" t="s">
        <v>842</v>
      </c>
      <c r="C170" s="19" t="str">
        <f t="shared" si="2"/>
        <v xml:space="preserve">
Wistie Park NA</v>
      </c>
      <c r="D170" s="19" t="s">
        <v>1489</v>
      </c>
      <c r="E170" s="19" t="s">
        <v>1819</v>
      </c>
      <c r="F170" s="19" t="s">
        <v>1491</v>
      </c>
      <c r="G170" s="19" t="s">
        <v>1820</v>
      </c>
      <c r="H170" s="19" t="s">
        <v>842</v>
      </c>
      <c r="I170" s="14"/>
      <c r="J170" s="14"/>
      <c r="K170" s="14"/>
      <c r="L170" s="14"/>
      <c r="M170" s="14"/>
    </row>
    <row r="171" spans="1:13" ht="12.5">
      <c r="A171" s="19" t="s">
        <v>4463</v>
      </c>
      <c r="B171" s="19" t="s">
        <v>842</v>
      </c>
      <c r="C171" s="19" t="str">
        <f t="shared" si="2"/>
        <v>Ching NA</v>
      </c>
      <c r="D171" s="19" t="s">
        <v>1489</v>
      </c>
      <c r="E171" s="19" t="s">
        <v>1821</v>
      </c>
      <c r="F171" s="19" t="s">
        <v>1491</v>
      </c>
      <c r="G171" s="19" t="s">
        <v>842</v>
      </c>
      <c r="H171" s="19" t="s">
        <v>1822</v>
      </c>
      <c r="I171" s="14"/>
      <c r="J171" s="14"/>
      <c r="K171" s="14"/>
      <c r="L171" s="14"/>
      <c r="M171" s="14"/>
    </row>
    <row r="172" spans="1:13" ht="12.5">
      <c r="A172" s="19" t="s">
        <v>842</v>
      </c>
      <c r="B172" s="19" t="s">
        <v>842</v>
      </c>
      <c r="C172" s="19" t="str">
        <f t="shared" si="2"/>
        <v>NA NA</v>
      </c>
      <c r="D172" s="19" t="s">
        <v>1489</v>
      </c>
      <c r="E172" s="19" t="s">
        <v>1823</v>
      </c>
      <c r="F172" s="19" t="s">
        <v>1491</v>
      </c>
      <c r="G172" s="19" t="s">
        <v>842</v>
      </c>
      <c r="H172" s="19" t="s">
        <v>1824</v>
      </c>
      <c r="I172" s="14"/>
      <c r="J172" s="14"/>
      <c r="K172" s="14"/>
      <c r="L172" s="14"/>
      <c r="M172" s="14"/>
    </row>
    <row r="173" spans="1:13" ht="12.5">
      <c r="A173" s="19" t="s">
        <v>702</v>
      </c>
      <c r="B173" s="19" t="s">
        <v>4394</v>
      </c>
      <c r="C173" s="19" t="str">
        <f t="shared" si="2"/>
        <v xml:space="preserve">Lim </v>
      </c>
      <c r="D173" s="19" t="s">
        <v>1489</v>
      </c>
      <c r="E173" s="19" t="s">
        <v>1825</v>
      </c>
      <c r="F173" s="19" t="s">
        <v>1491</v>
      </c>
      <c r="G173" s="19" t="s">
        <v>842</v>
      </c>
      <c r="H173" s="19" t="s">
        <v>1826</v>
      </c>
      <c r="I173" s="14"/>
      <c r="J173" s="14"/>
      <c r="K173" s="14"/>
      <c r="L173" s="14"/>
      <c r="M173" s="14"/>
    </row>
    <row r="174" spans="1:13" ht="23">
      <c r="A174" s="19" t="s">
        <v>1827</v>
      </c>
      <c r="B174" s="19" t="s">
        <v>465</v>
      </c>
      <c r="C174" s="19" t="str">
        <f t="shared" si="2"/>
        <v>Jolyn Wong</v>
      </c>
      <c r="D174" s="19" t="s">
        <v>1489</v>
      </c>
      <c r="E174" s="19" t="s">
        <v>1828</v>
      </c>
      <c r="F174" s="19" t="s">
        <v>1491</v>
      </c>
      <c r="G174" s="19" t="s">
        <v>1829</v>
      </c>
      <c r="H174" s="19">
        <v>93664223</v>
      </c>
      <c r="I174" s="14"/>
      <c r="J174" s="14"/>
      <c r="K174" s="14"/>
      <c r="L174" s="14"/>
      <c r="M174" s="14"/>
    </row>
    <row r="175" spans="1:13" ht="23">
      <c r="A175" s="19" t="s">
        <v>842</v>
      </c>
      <c r="B175" s="19" t="s">
        <v>842</v>
      </c>
      <c r="C175" s="19" t="str">
        <f t="shared" si="2"/>
        <v>NA NA</v>
      </c>
      <c r="D175" s="19" t="s">
        <v>1489</v>
      </c>
      <c r="E175" s="19" t="s">
        <v>1830</v>
      </c>
      <c r="F175" s="19" t="s">
        <v>1491</v>
      </c>
      <c r="G175" s="19" t="s">
        <v>1831</v>
      </c>
      <c r="H175" s="19" t="s">
        <v>842</v>
      </c>
      <c r="I175" s="14"/>
      <c r="J175" s="14"/>
      <c r="K175" s="14"/>
      <c r="L175" s="14"/>
      <c r="M175" s="14"/>
    </row>
    <row r="176" spans="1:13" ht="23">
      <c r="A176" s="19" t="s">
        <v>4464</v>
      </c>
      <c r="B176" s="19" t="s">
        <v>4572</v>
      </c>
      <c r="C176" s="19" t="str">
        <f t="shared" si="2"/>
        <v>Haresh Sabnani</v>
      </c>
      <c r="D176" s="19" t="s">
        <v>1489</v>
      </c>
      <c r="E176" s="19" t="s">
        <v>1832</v>
      </c>
      <c r="F176" s="19" t="s">
        <v>1491</v>
      </c>
      <c r="G176" s="19" t="s">
        <v>1833</v>
      </c>
      <c r="H176" s="19">
        <v>93802407</v>
      </c>
      <c r="I176" s="14"/>
      <c r="J176" s="14"/>
      <c r="K176" s="14"/>
      <c r="L176" s="14"/>
      <c r="M176" s="14"/>
    </row>
    <row r="177" spans="1:13" ht="34.5">
      <c r="A177" s="19" t="s">
        <v>1091</v>
      </c>
      <c r="B177" s="19" t="s">
        <v>428</v>
      </c>
      <c r="C177" s="19" t="str">
        <f t="shared" si="2"/>
        <v>Sheena Ong</v>
      </c>
      <c r="D177" s="19" t="s">
        <v>1489</v>
      </c>
      <c r="E177" s="19" t="s">
        <v>1834</v>
      </c>
      <c r="F177" s="19" t="s">
        <v>1491</v>
      </c>
      <c r="G177" s="19" t="s">
        <v>1835</v>
      </c>
      <c r="H177" s="19">
        <v>81832246</v>
      </c>
      <c r="I177" s="14"/>
      <c r="J177" s="14"/>
      <c r="K177" s="14"/>
      <c r="L177" s="14"/>
      <c r="M177" s="14"/>
    </row>
    <row r="178" spans="1:13" ht="23">
      <c r="A178" s="19" t="s">
        <v>4465</v>
      </c>
      <c r="B178" s="19" t="s">
        <v>1836</v>
      </c>
      <c r="C178" s="19" t="str">
        <f t="shared" si="2"/>
        <v>Yen Nee</v>
      </c>
      <c r="D178" s="19" t="s">
        <v>1489</v>
      </c>
      <c r="E178" s="19" t="s">
        <v>1837</v>
      </c>
      <c r="F178" s="19" t="s">
        <v>1491</v>
      </c>
      <c r="G178" s="19" t="s">
        <v>1838</v>
      </c>
      <c r="H178" s="19">
        <v>65443010</v>
      </c>
      <c r="I178" s="14"/>
      <c r="J178" s="14"/>
      <c r="K178" s="14"/>
      <c r="L178" s="14"/>
      <c r="M178" s="14"/>
    </row>
    <row r="179" spans="1:13" ht="23">
      <c r="A179" s="19" t="s">
        <v>4466</v>
      </c>
      <c r="B179" s="19" t="s">
        <v>3810</v>
      </c>
      <c r="C179" s="19" t="str">
        <f t="shared" si="2"/>
        <v>Hock Soon</v>
      </c>
      <c r="D179" s="19" t="s">
        <v>1489</v>
      </c>
      <c r="E179" s="19" t="s">
        <v>1839</v>
      </c>
      <c r="F179" s="19" t="s">
        <v>1491</v>
      </c>
      <c r="G179" s="19" t="s">
        <v>1840</v>
      </c>
      <c r="H179" s="19">
        <v>88863282</v>
      </c>
      <c r="I179" s="14"/>
      <c r="J179" s="14"/>
      <c r="K179" s="14"/>
      <c r="L179" s="14"/>
      <c r="M179" s="14"/>
    </row>
    <row r="180" spans="1:13" ht="34.5">
      <c r="A180" s="19" t="s">
        <v>4467</v>
      </c>
      <c r="B180" s="19" t="s">
        <v>842</v>
      </c>
      <c r="C180" s="19" t="str">
        <f t="shared" si="2"/>
        <v>Leandro NA</v>
      </c>
      <c r="D180" s="19" t="s">
        <v>1489</v>
      </c>
      <c r="E180" s="19" t="s">
        <v>1841</v>
      </c>
      <c r="F180" s="19" t="s">
        <v>1491</v>
      </c>
      <c r="G180" s="19" t="s">
        <v>1842</v>
      </c>
      <c r="H180" s="19">
        <v>86736210</v>
      </c>
      <c r="I180" s="14"/>
      <c r="J180" s="14"/>
      <c r="K180" s="14"/>
      <c r="L180" s="14"/>
      <c r="M180" s="14"/>
    </row>
    <row r="181" spans="1:13" ht="12.5">
      <c r="A181" s="19" t="s">
        <v>508</v>
      </c>
      <c r="B181" s="19" t="s">
        <v>842</v>
      </c>
      <c r="C181" s="19" t="str">
        <f t="shared" si="2"/>
        <v>Sam NA</v>
      </c>
      <c r="D181" s="19" t="s">
        <v>1489</v>
      </c>
      <c r="E181" s="19" t="s">
        <v>1843</v>
      </c>
      <c r="F181" s="19" t="s">
        <v>1491</v>
      </c>
      <c r="G181" s="19" t="s">
        <v>842</v>
      </c>
      <c r="H181" s="19">
        <v>92360994</v>
      </c>
      <c r="I181" s="14"/>
      <c r="J181" s="14"/>
      <c r="K181" s="14"/>
      <c r="L181" s="14"/>
      <c r="M181" s="14"/>
    </row>
    <row r="182" spans="1:13" ht="12.5">
      <c r="A182" s="19" t="s">
        <v>842</v>
      </c>
      <c r="B182" s="19" t="s">
        <v>842</v>
      </c>
      <c r="C182" s="19" t="str">
        <f t="shared" si="2"/>
        <v>NA NA</v>
      </c>
      <c r="D182" s="19" t="s">
        <v>1489</v>
      </c>
      <c r="E182" s="19" t="s">
        <v>1844</v>
      </c>
      <c r="F182" s="19" t="s">
        <v>1491</v>
      </c>
      <c r="G182" s="19" t="s">
        <v>842</v>
      </c>
      <c r="H182" s="19" t="s">
        <v>1845</v>
      </c>
      <c r="I182" s="14"/>
      <c r="J182" s="14"/>
      <c r="K182" s="14"/>
      <c r="L182" s="14"/>
      <c r="M182" s="14"/>
    </row>
    <row r="183" spans="1:13" ht="12.5">
      <c r="A183" s="19" t="s">
        <v>821</v>
      </c>
      <c r="B183" s="19" t="s">
        <v>842</v>
      </c>
      <c r="C183" s="19" t="str">
        <f t="shared" si="2"/>
        <v>Lee NA</v>
      </c>
      <c r="D183" s="19" t="s">
        <v>1489</v>
      </c>
      <c r="E183" s="19" t="s">
        <v>1846</v>
      </c>
      <c r="F183" s="19" t="s">
        <v>1491</v>
      </c>
      <c r="G183" s="19" t="s">
        <v>842</v>
      </c>
      <c r="H183" s="19">
        <v>62462740</v>
      </c>
      <c r="I183" s="14"/>
      <c r="J183" s="14"/>
      <c r="K183" s="14"/>
      <c r="L183" s="14"/>
      <c r="M183" s="14"/>
    </row>
    <row r="184" spans="1:13" ht="12.5">
      <c r="A184" s="19" t="s">
        <v>4468</v>
      </c>
      <c r="B184" s="19" t="s">
        <v>842</v>
      </c>
      <c r="C184" s="19" t="str">
        <f t="shared" si="2"/>
        <v>Miin NA</v>
      </c>
      <c r="D184" s="19" t="s">
        <v>1489</v>
      </c>
      <c r="E184" s="19" t="s">
        <v>1847</v>
      </c>
      <c r="F184" s="19" t="s">
        <v>1491</v>
      </c>
      <c r="G184" s="19" t="s">
        <v>1848</v>
      </c>
      <c r="H184" s="19" t="s">
        <v>842</v>
      </c>
      <c r="I184" s="14"/>
      <c r="J184" s="14"/>
      <c r="K184" s="14"/>
      <c r="L184" s="14"/>
      <c r="M184" s="14"/>
    </row>
    <row r="185" spans="1:13" ht="23">
      <c r="A185" s="19" t="s">
        <v>4469</v>
      </c>
      <c r="B185" s="19" t="s">
        <v>842</v>
      </c>
      <c r="C185" s="19" t="str">
        <f t="shared" si="2"/>
        <v>Weng NA</v>
      </c>
      <c r="D185" s="19" t="s">
        <v>1489</v>
      </c>
      <c r="E185" s="19" t="s">
        <v>1849</v>
      </c>
      <c r="F185" s="19" t="s">
        <v>1491</v>
      </c>
      <c r="G185" s="19" t="s">
        <v>1850</v>
      </c>
      <c r="H185" s="19">
        <v>83566028</v>
      </c>
      <c r="I185" s="14"/>
      <c r="J185" s="14"/>
      <c r="K185" s="14"/>
      <c r="L185" s="14"/>
      <c r="M185" s="14"/>
    </row>
    <row r="186" spans="1:13" ht="23">
      <c r="A186" s="19" t="s">
        <v>842</v>
      </c>
      <c r="B186" s="19" t="s">
        <v>842</v>
      </c>
      <c r="C186" s="19" t="str">
        <f t="shared" si="2"/>
        <v>NA NA</v>
      </c>
      <c r="D186" s="19" t="s">
        <v>1489</v>
      </c>
      <c r="E186" s="19" t="s">
        <v>1851</v>
      </c>
      <c r="F186" s="19" t="s">
        <v>1491</v>
      </c>
      <c r="G186" s="19" t="s">
        <v>1852</v>
      </c>
      <c r="H186" s="19" t="s">
        <v>842</v>
      </c>
      <c r="I186" s="14"/>
      <c r="J186" s="14"/>
      <c r="K186" s="14"/>
      <c r="L186" s="14"/>
      <c r="M186" s="14"/>
    </row>
    <row r="187" spans="1:13" ht="12.5">
      <c r="A187" s="19" t="s">
        <v>1027</v>
      </c>
      <c r="B187" s="19" t="s">
        <v>842</v>
      </c>
      <c r="C187" s="19" t="str">
        <f t="shared" si="2"/>
        <v>Vincent NA</v>
      </c>
      <c r="D187" s="19" t="s">
        <v>1489</v>
      </c>
      <c r="E187" s="19" t="s">
        <v>1853</v>
      </c>
      <c r="F187" s="19" t="s">
        <v>1491</v>
      </c>
      <c r="G187" s="19" t="s">
        <v>842</v>
      </c>
      <c r="H187" s="19">
        <v>85427219</v>
      </c>
      <c r="I187" s="14"/>
      <c r="J187" s="14"/>
      <c r="K187" s="14"/>
      <c r="L187" s="14"/>
      <c r="M187" s="14"/>
    </row>
    <row r="188" spans="1:13" ht="23">
      <c r="A188" s="19" t="s">
        <v>2239</v>
      </c>
      <c r="B188" s="19" t="s">
        <v>372</v>
      </c>
      <c r="C188" s="19" t="str">
        <f t="shared" si="2"/>
        <v>James Tan</v>
      </c>
      <c r="D188" s="19" t="s">
        <v>1489</v>
      </c>
      <c r="E188" s="19" t="s">
        <v>1854</v>
      </c>
      <c r="F188" s="19" t="s">
        <v>1491</v>
      </c>
      <c r="G188" s="19" t="s">
        <v>1855</v>
      </c>
      <c r="H188" s="19">
        <v>62213969</v>
      </c>
      <c r="I188" s="14"/>
      <c r="J188" s="14"/>
      <c r="K188" s="14"/>
      <c r="L188" s="14"/>
      <c r="M188" s="14"/>
    </row>
    <row r="189" spans="1:13" ht="12.5">
      <c r="A189" s="19" t="s">
        <v>4470</v>
      </c>
      <c r="B189" s="19" t="s">
        <v>1710</v>
      </c>
      <c r="C189" s="19" t="str">
        <f t="shared" si="2"/>
        <v>Evelyn NG</v>
      </c>
      <c r="D189" s="19" t="s">
        <v>1489</v>
      </c>
      <c r="E189" s="19" t="s">
        <v>1856</v>
      </c>
      <c r="F189" s="19" t="s">
        <v>1491</v>
      </c>
      <c r="G189" s="19" t="s">
        <v>1397</v>
      </c>
      <c r="H189" s="19" t="s">
        <v>842</v>
      </c>
      <c r="I189" s="14"/>
      <c r="J189" s="14"/>
      <c r="K189" s="14"/>
      <c r="L189" s="14"/>
      <c r="M189" s="14"/>
    </row>
    <row r="190" spans="1:13" ht="23">
      <c r="A190" s="19" t="s">
        <v>694</v>
      </c>
      <c r="B190" s="19" t="s">
        <v>842</v>
      </c>
      <c r="C190" s="19" t="str">
        <f t="shared" si="2"/>
        <v>John NA</v>
      </c>
      <c r="D190" s="19" t="s">
        <v>1489</v>
      </c>
      <c r="E190" s="19" t="s">
        <v>1857</v>
      </c>
      <c r="F190" s="19" t="s">
        <v>1491</v>
      </c>
      <c r="G190" s="19" t="s">
        <v>842</v>
      </c>
      <c r="H190" s="19">
        <v>93844686</v>
      </c>
      <c r="I190" s="14"/>
      <c r="J190" s="14"/>
      <c r="K190" s="14"/>
      <c r="L190" s="14"/>
      <c r="M190" s="14"/>
    </row>
    <row r="191" spans="1:13" ht="12.5">
      <c r="A191" s="19" t="s">
        <v>1858</v>
      </c>
      <c r="B191" s="19" t="s">
        <v>1859</v>
      </c>
      <c r="C191" s="19" t="str">
        <f t="shared" si="2"/>
        <v>Jinhui Kok</v>
      </c>
      <c r="D191" s="19" t="s">
        <v>1489</v>
      </c>
      <c r="E191" s="19" t="s">
        <v>1860</v>
      </c>
      <c r="F191" s="19" t="s">
        <v>1491</v>
      </c>
      <c r="G191" s="19" t="s">
        <v>1861</v>
      </c>
      <c r="H191" s="19">
        <v>90258148</v>
      </c>
      <c r="I191" s="14"/>
      <c r="J191" s="14"/>
      <c r="K191" s="14"/>
      <c r="L191" s="14"/>
      <c r="M191" s="14"/>
    </row>
    <row r="192" spans="1:13" ht="12.5">
      <c r="A192" s="19" t="s">
        <v>4471</v>
      </c>
      <c r="B192" s="19" t="s">
        <v>4463</v>
      </c>
      <c r="C192" s="19" t="str">
        <f t="shared" si="2"/>
        <v>Yin Ching</v>
      </c>
      <c r="D192" s="19" t="s">
        <v>1489</v>
      </c>
      <c r="E192" s="19" t="s">
        <v>1862</v>
      </c>
      <c r="F192" s="19" t="s">
        <v>1491</v>
      </c>
      <c r="G192" s="19" t="s">
        <v>1863</v>
      </c>
      <c r="H192" s="19" t="s">
        <v>842</v>
      </c>
      <c r="I192" s="14"/>
      <c r="J192" s="14"/>
      <c r="K192" s="14"/>
      <c r="L192" s="14"/>
      <c r="M192" s="14"/>
    </row>
    <row r="193" spans="1:13" ht="12.5">
      <c r="A193" s="19" t="s">
        <v>4472</v>
      </c>
      <c r="B193" s="19" t="s">
        <v>1710</v>
      </c>
      <c r="C193" s="19" t="str">
        <f t="shared" si="2"/>
        <v>Videl NG</v>
      </c>
      <c r="D193" s="19" t="s">
        <v>1489</v>
      </c>
      <c r="E193" s="19" t="s">
        <v>1864</v>
      </c>
      <c r="F193" s="19" t="s">
        <v>1491</v>
      </c>
      <c r="G193" s="19" t="s">
        <v>1865</v>
      </c>
      <c r="H193" s="19">
        <v>97697704</v>
      </c>
      <c r="I193" s="14"/>
      <c r="J193" s="14"/>
      <c r="K193" s="14"/>
      <c r="L193" s="14"/>
      <c r="M193" s="14"/>
    </row>
    <row r="194" spans="1:13" ht="12.5">
      <c r="A194" s="19" t="s">
        <v>842</v>
      </c>
      <c r="B194" s="19" t="s">
        <v>842</v>
      </c>
      <c r="C194" s="19" t="str">
        <f t="shared" si="2"/>
        <v>NA NA</v>
      </c>
      <c r="D194" s="19" t="s">
        <v>1489</v>
      </c>
      <c r="E194" s="19" t="s">
        <v>1866</v>
      </c>
      <c r="F194" s="19" t="s">
        <v>1491</v>
      </c>
      <c r="G194" s="19" t="s">
        <v>1867</v>
      </c>
      <c r="H194" s="19" t="s">
        <v>842</v>
      </c>
      <c r="I194" s="14"/>
      <c r="J194" s="14"/>
      <c r="K194" s="14"/>
      <c r="L194" s="14"/>
      <c r="M194" s="14"/>
    </row>
    <row r="195" spans="1:13" ht="23">
      <c r="A195" s="19" t="s">
        <v>842</v>
      </c>
      <c r="B195" s="19" t="s">
        <v>4394</v>
      </c>
      <c r="C195" s="19" t="str">
        <f t="shared" ref="C195:C258" si="3">_xlfn.CONCAT(A195," ",B195)</f>
        <v xml:space="preserve">NA </v>
      </c>
      <c r="D195" s="19" t="s">
        <v>1489</v>
      </c>
      <c r="E195" s="19" t="s">
        <v>1868</v>
      </c>
      <c r="F195" s="19" t="s">
        <v>1491</v>
      </c>
      <c r="G195" s="19" t="s">
        <v>842</v>
      </c>
      <c r="H195" s="19">
        <v>94691335</v>
      </c>
      <c r="I195" s="14"/>
      <c r="J195" s="14"/>
      <c r="K195" s="14"/>
      <c r="L195" s="14"/>
      <c r="M195" s="14"/>
    </row>
    <row r="196" spans="1:13" ht="12.5">
      <c r="A196" s="19" t="s">
        <v>4408</v>
      </c>
      <c r="B196" s="19" t="s">
        <v>842</v>
      </c>
      <c r="C196" s="19" t="str">
        <f t="shared" si="3"/>
        <v>Maurice NA</v>
      </c>
      <c r="D196" s="19" t="s">
        <v>1489</v>
      </c>
      <c r="E196" s="19" t="s">
        <v>1869</v>
      </c>
      <c r="F196" s="19" t="s">
        <v>1491</v>
      </c>
      <c r="G196" s="19" t="s">
        <v>1554</v>
      </c>
      <c r="H196" s="19">
        <v>90888302</v>
      </c>
      <c r="I196" s="14"/>
      <c r="J196" s="14"/>
      <c r="K196" s="14"/>
      <c r="L196" s="14"/>
      <c r="M196" s="14"/>
    </row>
    <row r="197" spans="1:13" ht="12.5">
      <c r="A197" s="19" t="s">
        <v>842</v>
      </c>
      <c r="B197" s="19" t="s">
        <v>842</v>
      </c>
      <c r="C197" s="19" t="str">
        <f t="shared" si="3"/>
        <v>NA NA</v>
      </c>
      <c r="D197" s="19" t="s">
        <v>1489</v>
      </c>
      <c r="E197" s="19" t="s">
        <v>1870</v>
      </c>
      <c r="F197" s="19" t="s">
        <v>1491</v>
      </c>
      <c r="G197" s="19" t="s">
        <v>842</v>
      </c>
      <c r="H197" s="19">
        <v>81712115</v>
      </c>
      <c r="I197" s="14"/>
      <c r="J197" s="14"/>
      <c r="K197" s="14"/>
      <c r="L197" s="14"/>
      <c r="M197" s="14"/>
    </row>
    <row r="198" spans="1:13" ht="23">
      <c r="A198" s="19" t="s">
        <v>4473</v>
      </c>
      <c r="B198" s="19" t="s">
        <v>842</v>
      </c>
      <c r="C198" s="19" t="str">
        <f t="shared" si="3"/>
        <v>Momoko NA</v>
      </c>
      <c r="D198" s="19" t="s">
        <v>1489</v>
      </c>
      <c r="E198" s="19" t="s">
        <v>1871</v>
      </c>
      <c r="F198" s="19" t="s">
        <v>1491</v>
      </c>
      <c r="G198" s="19" t="s">
        <v>1872</v>
      </c>
      <c r="H198" s="19" t="s">
        <v>842</v>
      </c>
      <c r="I198" s="14"/>
      <c r="J198" s="14"/>
      <c r="K198" s="14"/>
      <c r="L198" s="14"/>
      <c r="M198" s="14"/>
    </row>
    <row r="199" spans="1:13" ht="12.5">
      <c r="A199" s="19" t="s">
        <v>842</v>
      </c>
      <c r="B199" s="19" t="s">
        <v>842</v>
      </c>
      <c r="C199" s="19" t="str">
        <f t="shared" si="3"/>
        <v>NA NA</v>
      </c>
      <c r="D199" s="19" t="s">
        <v>1489</v>
      </c>
      <c r="E199" s="19" t="s">
        <v>1873</v>
      </c>
      <c r="F199" s="19" t="s">
        <v>1491</v>
      </c>
      <c r="G199" s="19" t="s">
        <v>1874</v>
      </c>
      <c r="H199" s="19" t="s">
        <v>842</v>
      </c>
      <c r="I199" s="14"/>
      <c r="J199" s="14"/>
      <c r="K199" s="14"/>
      <c r="L199" s="14"/>
      <c r="M199" s="14"/>
    </row>
    <row r="200" spans="1:13" ht="12.5">
      <c r="A200" s="19" t="s">
        <v>1875</v>
      </c>
      <c r="B200" s="19" t="s">
        <v>842</v>
      </c>
      <c r="C200" s="19" t="str">
        <f t="shared" si="3"/>
        <v>Yik NA</v>
      </c>
      <c r="D200" s="19" t="s">
        <v>1489</v>
      </c>
      <c r="E200" s="19" t="s">
        <v>1876</v>
      </c>
      <c r="F200" s="19" t="s">
        <v>1491</v>
      </c>
      <c r="G200" s="19" t="s">
        <v>1877</v>
      </c>
      <c r="H200" s="19">
        <v>123234222</v>
      </c>
      <c r="I200" s="14"/>
      <c r="J200" s="14"/>
      <c r="K200" s="14"/>
      <c r="L200" s="14"/>
      <c r="M200" s="14"/>
    </row>
    <row r="201" spans="1:13" ht="12.5">
      <c r="A201" s="19" t="s">
        <v>1878</v>
      </c>
      <c r="B201" s="19" t="s">
        <v>842</v>
      </c>
      <c r="C201" s="19" t="str">
        <f t="shared" si="3"/>
        <v>Hian NA</v>
      </c>
      <c r="D201" s="19" t="s">
        <v>1489</v>
      </c>
      <c r="E201" s="19" t="s">
        <v>1879</v>
      </c>
      <c r="F201" s="19" t="s">
        <v>1491</v>
      </c>
      <c r="G201" s="19" t="s">
        <v>1880</v>
      </c>
      <c r="H201" s="19">
        <v>97962424</v>
      </c>
      <c r="I201" s="14"/>
      <c r="J201" s="14"/>
      <c r="K201" s="14"/>
      <c r="L201" s="14"/>
      <c r="M201" s="14"/>
    </row>
    <row r="202" spans="1:13" ht="23">
      <c r="A202" s="19" t="s">
        <v>4474</v>
      </c>
      <c r="B202" s="19" t="s">
        <v>1881</v>
      </c>
      <c r="C202" s="19" t="str">
        <f t="shared" si="3"/>
        <v>Joy Jallorina</v>
      </c>
      <c r="D202" s="19" t="s">
        <v>1489</v>
      </c>
      <c r="E202" s="19" t="s">
        <v>1882</v>
      </c>
      <c r="F202" s="19" t="s">
        <v>1491</v>
      </c>
      <c r="G202" s="19" t="s">
        <v>1883</v>
      </c>
      <c r="H202" s="19">
        <v>97709489</v>
      </c>
      <c r="I202" s="14"/>
      <c r="J202" s="14"/>
      <c r="K202" s="14"/>
      <c r="L202" s="14"/>
      <c r="M202" s="14"/>
    </row>
    <row r="203" spans="1:13" ht="23">
      <c r="A203" s="19" t="s">
        <v>842</v>
      </c>
      <c r="B203" s="19" t="s">
        <v>842</v>
      </c>
      <c r="C203" s="19" t="str">
        <f t="shared" si="3"/>
        <v>NA NA</v>
      </c>
      <c r="D203" s="19" t="s">
        <v>1489</v>
      </c>
      <c r="E203" s="19" t="s">
        <v>1884</v>
      </c>
      <c r="F203" s="19" t="s">
        <v>1491</v>
      </c>
      <c r="G203" s="19" t="s">
        <v>842</v>
      </c>
      <c r="H203" s="19">
        <v>96540767</v>
      </c>
      <c r="I203" s="14"/>
      <c r="J203" s="14"/>
      <c r="K203" s="14"/>
      <c r="L203" s="14"/>
      <c r="M203" s="14"/>
    </row>
    <row r="204" spans="1:13" ht="23">
      <c r="A204" s="19" t="s">
        <v>793</v>
      </c>
      <c r="B204" s="19" t="s">
        <v>828</v>
      </c>
      <c r="C204" s="19" t="str">
        <f t="shared" si="3"/>
        <v>Shannon Yeo</v>
      </c>
      <c r="D204" s="19" t="s">
        <v>1489</v>
      </c>
      <c r="E204" s="19" t="s">
        <v>1885</v>
      </c>
      <c r="F204" s="19" t="s">
        <v>1491</v>
      </c>
      <c r="G204" s="19" t="s">
        <v>1886</v>
      </c>
      <c r="H204" s="19">
        <v>81117477</v>
      </c>
      <c r="I204" s="14"/>
      <c r="J204" s="14"/>
      <c r="K204" s="14"/>
      <c r="L204" s="14"/>
      <c r="M204" s="14"/>
    </row>
    <row r="205" spans="1:13" ht="12.5">
      <c r="A205" s="19" t="s">
        <v>842</v>
      </c>
      <c r="B205" s="19" t="s">
        <v>4394</v>
      </c>
      <c r="C205" s="19" t="str">
        <f t="shared" si="3"/>
        <v xml:space="preserve">NA </v>
      </c>
      <c r="D205" s="19" t="s">
        <v>1489</v>
      </c>
      <c r="E205" s="19" t="s">
        <v>1887</v>
      </c>
      <c r="F205" s="19" t="s">
        <v>4</v>
      </c>
      <c r="G205" s="19" t="s">
        <v>842</v>
      </c>
      <c r="H205" s="19">
        <v>81575918</v>
      </c>
      <c r="I205" s="14"/>
      <c r="J205" s="14"/>
      <c r="K205" s="14"/>
      <c r="L205" s="14"/>
      <c r="M205" s="14"/>
    </row>
    <row r="206" spans="1:13" ht="12.5">
      <c r="A206" s="19" t="s">
        <v>4475</v>
      </c>
      <c r="B206" s="19" t="s">
        <v>702</v>
      </c>
      <c r="C206" s="19" t="str">
        <f t="shared" si="3"/>
        <v>Cary Lim</v>
      </c>
      <c r="D206" s="19" t="s">
        <v>1489</v>
      </c>
      <c r="E206" s="19" t="s">
        <v>1888</v>
      </c>
      <c r="F206" s="19" t="s">
        <v>4</v>
      </c>
      <c r="G206" s="19" t="s">
        <v>1889</v>
      </c>
      <c r="H206" s="19">
        <v>96907660</v>
      </c>
      <c r="I206" s="14"/>
      <c r="J206" s="14"/>
      <c r="K206" s="14"/>
      <c r="L206" s="14"/>
      <c r="M206" s="14"/>
    </row>
    <row r="207" spans="1:13" ht="12.5">
      <c r="A207" s="19" t="s">
        <v>842</v>
      </c>
      <c r="B207" s="19" t="s">
        <v>842</v>
      </c>
      <c r="C207" s="19" t="str">
        <f t="shared" si="3"/>
        <v>NA NA</v>
      </c>
      <c r="D207" s="19" t="s">
        <v>1489</v>
      </c>
      <c r="E207" s="19" t="s">
        <v>1890</v>
      </c>
      <c r="F207" s="19" t="s">
        <v>4</v>
      </c>
      <c r="G207" s="19" t="s">
        <v>842</v>
      </c>
      <c r="H207" s="19">
        <v>97972714</v>
      </c>
      <c r="I207" s="14"/>
      <c r="J207" s="14"/>
      <c r="K207" s="14"/>
      <c r="L207" s="14"/>
      <c r="M207" s="14"/>
    </row>
    <row r="208" spans="1:13" ht="23">
      <c r="A208" s="19" t="s">
        <v>4476</v>
      </c>
      <c r="B208" s="19" t="s">
        <v>842</v>
      </c>
      <c r="C208" s="19" t="str">
        <f t="shared" si="3"/>
        <v>JAson NA</v>
      </c>
      <c r="D208" s="19" t="s">
        <v>1489</v>
      </c>
      <c r="E208" s="19" t="s">
        <v>1891</v>
      </c>
      <c r="F208" s="19" t="s">
        <v>4</v>
      </c>
      <c r="G208" s="19" t="s">
        <v>1892</v>
      </c>
      <c r="H208" s="19">
        <v>98895386</v>
      </c>
      <c r="I208" s="14"/>
      <c r="J208" s="14"/>
      <c r="K208" s="14"/>
      <c r="L208" s="14"/>
      <c r="M208" s="14"/>
    </row>
    <row r="209" spans="1:13" ht="23">
      <c r="A209" s="19" t="s">
        <v>4477</v>
      </c>
      <c r="B209" s="19" t="s">
        <v>842</v>
      </c>
      <c r="C209" s="19" t="str">
        <f t="shared" si="3"/>
        <v>Raphael NA</v>
      </c>
      <c r="D209" s="19" t="s">
        <v>1489</v>
      </c>
      <c r="E209" s="19" t="s">
        <v>1893</v>
      </c>
      <c r="F209" s="19" t="s">
        <v>4</v>
      </c>
      <c r="G209" s="19" t="s">
        <v>1894</v>
      </c>
      <c r="H209" s="19">
        <v>91995935</v>
      </c>
      <c r="I209" s="14"/>
      <c r="J209" s="14"/>
      <c r="K209" s="14"/>
      <c r="L209" s="14"/>
      <c r="M209" s="14"/>
    </row>
    <row r="210" spans="1:13" ht="12.5">
      <c r="A210" s="19" t="s">
        <v>4478</v>
      </c>
      <c r="B210" s="19" t="s">
        <v>842</v>
      </c>
      <c r="C210" s="19" t="str">
        <f t="shared" si="3"/>
        <v>Shao NA</v>
      </c>
      <c r="D210" s="19" t="s">
        <v>1489</v>
      </c>
      <c r="E210" s="19" t="s">
        <v>1895</v>
      </c>
      <c r="F210" s="19" t="s">
        <v>1491</v>
      </c>
      <c r="G210" s="19" t="s">
        <v>1896</v>
      </c>
      <c r="H210" s="19">
        <v>84127233</v>
      </c>
      <c r="I210" s="14"/>
      <c r="J210" s="14"/>
      <c r="K210" s="14"/>
      <c r="L210" s="14"/>
      <c r="M210" s="14"/>
    </row>
    <row r="211" spans="1:13" ht="12.5">
      <c r="A211" s="19" t="s">
        <v>702</v>
      </c>
      <c r="B211" s="19" t="s">
        <v>842</v>
      </c>
      <c r="C211" s="19" t="str">
        <f t="shared" si="3"/>
        <v>Lim NA</v>
      </c>
      <c r="D211" s="19" t="s">
        <v>1489</v>
      </c>
      <c r="E211" s="19" t="s">
        <v>1897</v>
      </c>
      <c r="F211" s="19" t="s">
        <v>4</v>
      </c>
      <c r="G211" s="19" t="s">
        <v>842</v>
      </c>
      <c r="H211" s="19">
        <v>97360911</v>
      </c>
      <c r="I211" s="14"/>
      <c r="J211" s="14"/>
      <c r="K211" s="14"/>
      <c r="L211" s="14"/>
      <c r="M211" s="14"/>
    </row>
    <row r="212" spans="1:13" ht="23">
      <c r="A212" s="19" t="s">
        <v>1898</v>
      </c>
      <c r="B212" s="19" t="s">
        <v>842</v>
      </c>
      <c r="C212" s="19" t="str">
        <f t="shared" si="3"/>
        <v>NNA NA</v>
      </c>
      <c r="D212" s="19" t="s">
        <v>1489</v>
      </c>
      <c r="E212" s="19" t="s">
        <v>1899</v>
      </c>
      <c r="F212" s="19" t="s">
        <v>1491</v>
      </c>
      <c r="G212" s="19" t="s">
        <v>1900</v>
      </c>
      <c r="H212" s="19">
        <v>91865321</v>
      </c>
      <c r="I212" s="14"/>
      <c r="J212" s="14"/>
      <c r="K212" s="14"/>
      <c r="L212" s="14"/>
      <c r="M212" s="14"/>
    </row>
    <row r="213" spans="1:13" ht="23">
      <c r="A213" s="19" t="s">
        <v>4479</v>
      </c>
      <c r="B213" s="19" t="s">
        <v>2298</v>
      </c>
      <c r="C213" s="19" t="str">
        <f t="shared" si="3"/>
        <v>Serena Toh</v>
      </c>
      <c r="D213" s="19" t="s">
        <v>1489</v>
      </c>
      <c r="E213" s="19" t="s">
        <v>1901</v>
      </c>
      <c r="F213" s="19" t="s">
        <v>1491</v>
      </c>
      <c r="G213" s="19" t="s">
        <v>1902</v>
      </c>
      <c r="H213" s="19">
        <v>68779339</v>
      </c>
      <c r="I213" s="14"/>
      <c r="J213" s="14"/>
      <c r="K213" s="14"/>
      <c r="L213" s="14"/>
      <c r="M213" s="14"/>
    </row>
    <row r="214" spans="1:13" ht="12.5">
      <c r="A214" s="19" t="s">
        <v>4480</v>
      </c>
      <c r="B214" s="19" t="s">
        <v>842</v>
      </c>
      <c r="C214" s="19" t="str">
        <f t="shared" si="3"/>
        <v>Jane NA</v>
      </c>
      <c r="D214" s="19" t="s">
        <v>1489</v>
      </c>
      <c r="E214" s="19" t="s">
        <v>1903</v>
      </c>
      <c r="F214" s="19" t="s">
        <v>1491</v>
      </c>
      <c r="G214" s="19" t="s">
        <v>1904</v>
      </c>
      <c r="H214" s="19">
        <v>90884580</v>
      </c>
      <c r="I214" s="14"/>
      <c r="J214" s="14"/>
      <c r="K214" s="14"/>
      <c r="L214" s="14"/>
      <c r="M214" s="14"/>
    </row>
    <row r="215" spans="1:13" ht="12.5">
      <c r="A215" s="19" t="s">
        <v>842</v>
      </c>
      <c r="B215" s="19" t="s">
        <v>842</v>
      </c>
      <c r="C215" s="19" t="str">
        <f t="shared" si="3"/>
        <v>NA NA</v>
      </c>
      <c r="D215" s="19" t="s">
        <v>1489</v>
      </c>
      <c r="E215" s="19" t="s">
        <v>1905</v>
      </c>
      <c r="F215" s="19" t="s">
        <v>1491</v>
      </c>
      <c r="G215" s="19" t="s">
        <v>1906</v>
      </c>
      <c r="H215" s="19" t="s">
        <v>1907</v>
      </c>
      <c r="I215" s="14"/>
      <c r="J215" s="14"/>
      <c r="K215" s="14"/>
      <c r="L215" s="14"/>
      <c r="M215" s="14"/>
    </row>
    <row r="216" spans="1:13" ht="23">
      <c r="A216" s="19" t="s">
        <v>1908</v>
      </c>
      <c r="B216" s="19" t="s">
        <v>372</v>
      </c>
      <c r="C216" s="19" t="str">
        <f t="shared" si="3"/>
        <v>Jun Liang Tan</v>
      </c>
      <c r="D216" s="19" t="s">
        <v>1489</v>
      </c>
      <c r="E216" s="19" t="s">
        <v>1909</v>
      </c>
      <c r="F216" s="19" t="s">
        <v>4</v>
      </c>
      <c r="G216" s="19" t="s">
        <v>1910</v>
      </c>
      <c r="H216" s="19">
        <v>94782182</v>
      </c>
      <c r="I216" s="14"/>
      <c r="J216" s="14"/>
      <c r="K216" s="14"/>
      <c r="L216" s="14"/>
      <c r="M216" s="14"/>
    </row>
    <row r="217" spans="1:13" ht="12.5">
      <c r="A217" s="19" t="s">
        <v>4393</v>
      </c>
      <c r="B217" s="19" t="s">
        <v>1911</v>
      </c>
      <c r="C217" s="19" t="str">
        <f t="shared" si="3"/>
        <v>Ray Thomas</v>
      </c>
      <c r="D217" s="19" t="s">
        <v>1489</v>
      </c>
      <c r="E217" s="19" t="s">
        <v>1912</v>
      </c>
      <c r="F217" s="19" t="s">
        <v>1491</v>
      </c>
      <c r="G217" s="19" t="s">
        <v>1913</v>
      </c>
      <c r="H217" s="19">
        <v>94373944</v>
      </c>
      <c r="I217" s="14"/>
      <c r="J217" s="14"/>
      <c r="K217" s="14"/>
      <c r="L217" s="14"/>
      <c r="M217" s="14"/>
    </row>
    <row r="218" spans="1:13" ht="12.5">
      <c r="A218" s="19" t="s">
        <v>4481</v>
      </c>
      <c r="B218" s="19" t="s">
        <v>4596</v>
      </c>
      <c r="C218" s="19" t="str">
        <f t="shared" si="3"/>
        <v>Eng Tech</v>
      </c>
      <c r="D218" s="19" t="s">
        <v>1489</v>
      </c>
      <c r="E218" s="19" t="s">
        <v>1914</v>
      </c>
      <c r="F218" s="19" t="s">
        <v>1491</v>
      </c>
      <c r="G218" s="19"/>
      <c r="H218" s="19">
        <v>87980755</v>
      </c>
      <c r="I218" s="14"/>
      <c r="J218" s="14"/>
      <c r="K218" s="14"/>
      <c r="L218" s="14"/>
      <c r="M218" s="14"/>
    </row>
    <row r="219" spans="1:13" ht="12.5">
      <c r="A219" s="19" t="s">
        <v>869</v>
      </c>
      <c r="B219" s="19" t="s">
        <v>3934</v>
      </c>
      <c r="C219" s="19" t="str">
        <f t="shared" si="3"/>
        <v>Wei Li</v>
      </c>
      <c r="D219" s="19" t="s">
        <v>1489</v>
      </c>
      <c r="E219" s="19" t="s">
        <v>1915</v>
      </c>
      <c r="F219" s="19" t="s">
        <v>1491</v>
      </c>
      <c r="G219" s="19" t="s">
        <v>1916</v>
      </c>
      <c r="H219" s="19">
        <v>94244567</v>
      </c>
      <c r="I219" s="14"/>
      <c r="J219" s="14"/>
      <c r="K219" s="14"/>
      <c r="L219" s="14"/>
      <c r="M219" s="14"/>
    </row>
    <row r="220" spans="1:13" ht="12.5">
      <c r="A220" s="19" t="s">
        <v>932</v>
      </c>
      <c r="B220" s="19" t="s">
        <v>842</v>
      </c>
      <c r="C220" s="19" t="str">
        <f t="shared" si="3"/>
        <v>Amanda NA</v>
      </c>
      <c r="D220" s="19" t="s">
        <v>1489</v>
      </c>
      <c r="E220" s="19" t="s">
        <v>1917</v>
      </c>
      <c r="F220" s="19" t="s">
        <v>4</v>
      </c>
      <c r="G220" s="20" t="s">
        <v>1918</v>
      </c>
      <c r="H220" s="19" t="s">
        <v>1919</v>
      </c>
      <c r="I220" s="14"/>
      <c r="J220" s="14"/>
      <c r="K220" s="14"/>
      <c r="L220" s="14"/>
      <c r="M220" s="14"/>
    </row>
    <row r="221" spans="1:13" ht="34.5">
      <c r="A221" s="19" t="s">
        <v>1170</v>
      </c>
      <c r="B221" s="19" t="s">
        <v>842</v>
      </c>
      <c r="C221" s="19" t="str">
        <f t="shared" si="3"/>
        <v>Simon NA</v>
      </c>
      <c r="D221" s="19" t="s">
        <v>1489</v>
      </c>
      <c r="E221" s="19" t="s">
        <v>1920</v>
      </c>
      <c r="F221" s="19" t="s">
        <v>1491</v>
      </c>
      <c r="G221" s="19" t="s">
        <v>1921</v>
      </c>
      <c r="H221" s="19">
        <v>96171231</v>
      </c>
      <c r="I221" s="14"/>
      <c r="J221" s="14"/>
      <c r="K221" s="14"/>
      <c r="L221" s="14"/>
      <c r="M221" s="14"/>
    </row>
    <row r="222" spans="1:13" ht="12.5">
      <c r="A222" s="19" t="s">
        <v>393</v>
      </c>
      <c r="B222" s="19" t="s">
        <v>842</v>
      </c>
      <c r="C222" s="19" t="str">
        <f t="shared" si="3"/>
        <v>Wendy NA</v>
      </c>
      <c r="D222" s="19" t="s">
        <v>1489</v>
      </c>
      <c r="E222" s="19" t="s">
        <v>1922</v>
      </c>
      <c r="F222" s="19" t="s">
        <v>1491</v>
      </c>
      <c r="G222" s="19" t="s">
        <v>1923</v>
      </c>
      <c r="H222" s="19">
        <v>97860676</v>
      </c>
      <c r="I222" s="14"/>
      <c r="J222" s="14"/>
      <c r="K222" s="14"/>
      <c r="L222" s="14"/>
      <c r="M222" s="14"/>
    </row>
    <row r="223" spans="1:13" ht="12.5">
      <c r="A223" s="19" t="s">
        <v>4482</v>
      </c>
      <c r="B223" s="19" t="s">
        <v>842</v>
      </c>
      <c r="C223" s="19" t="str">
        <f t="shared" si="3"/>
        <v>Jam NA</v>
      </c>
      <c r="D223" s="19" t="s">
        <v>1489</v>
      </c>
      <c r="E223" s="19" t="s">
        <v>1924</v>
      </c>
      <c r="F223" s="19" t="s">
        <v>1491</v>
      </c>
      <c r="G223" s="19" t="s">
        <v>1925</v>
      </c>
      <c r="H223" s="19">
        <v>93217769</v>
      </c>
      <c r="I223" s="14"/>
      <c r="J223" s="14"/>
      <c r="K223" s="14"/>
      <c r="L223" s="14"/>
      <c r="M223" s="14"/>
    </row>
    <row r="224" spans="1:13" ht="12.5">
      <c r="A224" s="19" t="s">
        <v>4483</v>
      </c>
      <c r="B224" s="19" t="s">
        <v>842</v>
      </c>
      <c r="C224" s="19" t="str">
        <f t="shared" si="3"/>
        <v>Veera NA</v>
      </c>
      <c r="D224" s="19" t="s">
        <v>1489</v>
      </c>
      <c r="E224" s="19" t="s">
        <v>1926</v>
      </c>
      <c r="F224" s="19" t="s">
        <v>1491</v>
      </c>
      <c r="G224" s="19" t="s">
        <v>1927</v>
      </c>
      <c r="H224" s="19">
        <v>91853360</v>
      </c>
      <c r="I224" s="14"/>
      <c r="J224" s="14"/>
      <c r="K224" s="14"/>
      <c r="L224" s="14"/>
      <c r="M224" s="14"/>
    </row>
    <row r="225" spans="1:13" ht="12.5">
      <c r="A225" s="19" t="s">
        <v>702</v>
      </c>
      <c r="B225" s="19" t="s">
        <v>842</v>
      </c>
      <c r="C225" s="19" t="str">
        <f t="shared" si="3"/>
        <v>Lim NA</v>
      </c>
      <c r="D225" s="19" t="s">
        <v>1489</v>
      </c>
      <c r="E225" s="19" t="s">
        <v>1928</v>
      </c>
      <c r="F225" s="19" t="s">
        <v>1491</v>
      </c>
      <c r="G225" s="19" t="s">
        <v>842</v>
      </c>
      <c r="H225" s="19">
        <v>81378564</v>
      </c>
      <c r="I225" s="14"/>
      <c r="J225" s="14"/>
      <c r="K225" s="14"/>
      <c r="L225" s="14"/>
      <c r="M225" s="14"/>
    </row>
    <row r="226" spans="1:13" ht="12.5">
      <c r="A226" s="19" t="s">
        <v>1929</v>
      </c>
      <c r="B226" s="19" t="s">
        <v>1930</v>
      </c>
      <c r="C226" s="19" t="str">
        <f t="shared" si="3"/>
        <v>Jennifer Yee</v>
      </c>
      <c r="D226" s="19" t="s">
        <v>1489</v>
      </c>
      <c r="E226" s="19" t="s">
        <v>1931</v>
      </c>
      <c r="F226" s="19" t="s">
        <v>1491</v>
      </c>
      <c r="G226" s="19" t="s">
        <v>1867</v>
      </c>
      <c r="H226" s="19" t="s">
        <v>842</v>
      </c>
      <c r="I226" s="14"/>
      <c r="J226" s="14"/>
      <c r="K226" s="14"/>
      <c r="L226" s="14"/>
      <c r="M226" s="14"/>
    </row>
    <row r="227" spans="1:13" ht="23">
      <c r="A227" s="19" t="s">
        <v>1932</v>
      </c>
      <c r="B227" s="19" t="s">
        <v>821</v>
      </c>
      <c r="C227" s="19" t="str">
        <f t="shared" si="3"/>
        <v>Aaron Lee</v>
      </c>
      <c r="D227" s="19" t="s">
        <v>1489</v>
      </c>
      <c r="E227" s="19" t="s">
        <v>1933</v>
      </c>
      <c r="F227" s="19" t="s">
        <v>1491</v>
      </c>
      <c r="G227" s="19" t="s">
        <v>1934</v>
      </c>
      <c r="H227" s="19">
        <v>94882226</v>
      </c>
      <c r="I227" s="14"/>
      <c r="J227" s="14"/>
      <c r="K227" s="14"/>
      <c r="L227" s="14"/>
      <c r="M227" s="14"/>
    </row>
    <row r="228" spans="1:13" ht="23">
      <c r="A228" s="19" t="s">
        <v>1226</v>
      </c>
      <c r="B228" s="19" t="s">
        <v>842</v>
      </c>
      <c r="C228" s="19" t="str">
        <f t="shared" si="3"/>
        <v>Cheryl NA</v>
      </c>
      <c r="D228" s="19" t="s">
        <v>1489</v>
      </c>
      <c r="E228" s="19" t="s">
        <v>1935</v>
      </c>
      <c r="F228" s="19" t="s">
        <v>1491</v>
      </c>
      <c r="G228" s="19" t="s">
        <v>1936</v>
      </c>
      <c r="H228" s="19">
        <v>90687394</v>
      </c>
      <c r="I228" s="14"/>
      <c r="J228" s="14"/>
      <c r="K228" s="14"/>
      <c r="L228" s="14"/>
      <c r="M228" s="14"/>
    </row>
    <row r="229" spans="1:13" ht="23">
      <c r="A229" s="19" t="s">
        <v>4484</v>
      </c>
      <c r="B229" s="19" t="s">
        <v>4597</v>
      </c>
      <c r="C229" s="19" t="str">
        <f t="shared" si="3"/>
        <v>Molly Jiang</v>
      </c>
      <c r="D229" s="19" t="s">
        <v>1489</v>
      </c>
      <c r="E229" s="19" t="s">
        <v>1937</v>
      </c>
      <c r="F229" s="19" t="s">
        <v>1491</v>
      </c>
      <c r="G229" s="19" t="s">
        <v>1938</v>
      </c>
      <c r="H229" s="19" t="s">
        <v>1939</v>
      </c>
      <c r="I229" s="14"/>
      <c r="J229" s="14"/>
      <c r="K229" s="14"/>
      <c r="L229" s="14"/>
      <c r="M229" s="14"/>
    </row>
    <row r="230" spans="1:13" ht="12.5">
      <c r="A230" s="19" t="s">
        <v>842</v>
      </c>
      <c r="B230" s="19" t="s">
        <v>4394</v>
      </c>
      <c r="C230" s="19" t="str">
        <f t="shared" si="3"/>
        <v xml:space="preserve">NA </v>
      </c>
      <c r="D230" s="19" t="s">
        <v>1489</v>
      </c>
      <c r="E230" s="19" t="s">
        <v>1940</v>
      </c>
      <c r="F230" s="19" t="s">
        <v>1491</v>
      </c>
      <c r="G230" s="19" t="s">
        <v>1941</v>
      </c>
      <c r="H230" s="19">
        <v>81378564</v>
      </c>
      <c r="I230" s="14"/>
      <c r="J230" s="14"/>
      <c r="K230" s="14"/>
      <c r="L230" s="14"/>
      <c r="M230" s="14"/>
    </row>
    <row r="231" spans="1:13" ht="23">
      <c r="A231" s="19" t="s">
        <v>4485</v>
      </c>
      <c r="B231" s="19" t="s">
        <v>4598</v>
      </c>
      <c r="C231" s="19" t="str">
        <f t="shared" si="3"/>
        <v>Linus Chalong</v>
      </c>
      <c r="D231" s="19" t="s">
        <v>1489</v>
      </c>
      <c r="E231" s="19" t="s">
        <v>1942</v>
      </c>
      <c r="F231" s="19" t="s">
        <v>1491</v>
      </c>
      <c r="G231" s="19" t="s">
        <v>1943</v>
      </c>
      <c r="H231" s="19" t="s">
        <v>842</v>
      </c>
      <c r="I231" s="14"/>
      <c r="J231" s="14"/>
      <c r="K231" s="14"/>
      <c r="L231" s="14"/>
      <c r="M231" s="14"/>
    </row>
    <row r="232" spans="1:13" ht="12.5">
      <c r="A232" s="19" t="s">
        <v>842</v>
      </c>
      <c r="B232" s="19" t="s">
        <v>842</v>
      </c>
      <c r="C232" s="19" t="str">
        <f t="shared" si="3"/>
        <v>NA NA</v>
      </c>
      <c r="D232" s="19" t="s">
        <v>1489</v>
      </c>
      <c r="E232" s="19" t="s">
        <v>1944</v>
      </c>
      <c r="F232" s="19" t="s">
        <v>1491</v>
      </c>
      <c r="G232" s="19" t="s">
        <v>842</v>
      </c>
      <c r="H232" s="19">
        <v>83639063</v>
      </c>
      <c r="I232" s="14"/>
      <c r="J232" s="14"/>
      <c r="K232" s="14"/>
      <c r="L232" s="14"/>
      <c r="M232" s="14"/>
    </row>
    <row r="233" spans="1:13" ht="12.5">
      <c r="A233" s="19" t="s">
        <v>1751</v>
      </c>
      <c r="B233" s="19" t="s">
        <v>842</v>
      </c>
      <c r="C233" s="19" t="str">
        <f t="shared" si="3"/>
        <v>Lin NA</v>
      </c>
      <c r="D233" s="19" t="s">
        <v>1489</v>
      </c>
      <c r="E233" s="19" t="s">
        <v>1945</v>
      </c>
      <c r="F233" s="19" t="s">
        <v>1491</v>
      </c>
      <c r="G233" s="20" t="s">
        <v>1946</v>
      </c>
      <c r="H233" s="19">
        <v>83393305</v>
      </c>
      <c r="I233" s="14"/>
      <c r="J233" s="14"/>
      <c r="K233" s="14"/>
      <c r="L233" s="14"/>
      <c r="M233" s="14"/>
    </row>
    <row r="234" spans="1:13" ht="12.5">
      <c r="A234" s="19" t="s">
        <v>469</v>
      </c>
      <c r="B234" s="19" t="s">
        <v>842</v>
      </c>
      <c r="C234" s="19" t="str">
        <f t="shared" si="3"/>
        <v>Richard NA</v>
      </c>
      <c r="D234" s="19" t="s">
        <v>1489</v>
      </c>
      <c r="E234" s="19" t="s">
        <v>1947</v>
      </c>
      <c r="F234" s="19" t="s">
        <v>1491</v>
      </c>
      <c r="G234" s="19" t="s">
        <v>1948</v>
      </c>
      <c r="H234" s="19" t="s">
        <v>1949</v>
      </c>
      <c r="I234" s="14"/>
      <c r="J234" s="14"/>
      <c r="K234" s="14"/>
      <c r="L234" s="14"/>
      <c r="M234" s="14"/>
    </row>
    <row r="235" spans="1:13" ht="12.5">
      <c r="A235" s="19" t="s">
        <v>842</v>
      </c>
      <c r="B235" s="19" t="s">
        <v>842</v>
      </c>
      <c r="C235" s="19" t="str">
        <f t="shared" si="3"/>
        <v>NA NA</v>
      </c>
      <c r="D235" s="19" t="s">
        <v>1489</v>
      </c>
      <c r="E235" s="19" t="s">
        <v>1950</v>
      </c>
      <c r="F235" s="19" t="s">
        <v>1491</v>
      </c>
      <c r="G235" s="19" t="s">
        <v>842</v>
      </c>
      <c r="H235" s="19">
        <v>82002762</v>
      </c>
      <c r="I235" s="14"/>
      <c r="J235" s="14"/>
      <c r="K235" s="14"/>
      <c r="L235" s="14"/>
      <c r="M235" s="14"/>
    </row>
    <row r="236" spans="1:13" ht="23">
      <c r="A236" s="19" t="s">
        <v>4486</v>
      </c>
      <c r="B236" s="19" t="s">
        <v>842</v>
      </c>
      <c r="C236" s="19" t="str">
        <f t="shared" si="3"/>
        <v>Ashwin NA</v>
      </c>
      <c r="D236" s="19" t="s">
        <v>1489</v>
      </c>
      <c r="E236" s="19" t="s">
        <v>1951</v>
      </c>
      <c r="F236" s="19" t="s">
        <v>1491</v>
      </c>
      <c r="G236" s="19" t="s">
        <v>1952</v>
      </c>
      <c r="H236" s="19">
        <v>89491452</v>
      </c>
      <c r="I236" s="14"/>
      <c r="J236" s="14"/>
      <c r="K236" s="14"/>
      <c r="L236" s="14"/>
      <c r="M236" s="14"/>
    </row>
    <row r="237" spans="1:13" ht="23">
      <c r="A237" s="19" t="s">
        <v>4487</v>
      </c>
      <c r="B237" s="19" t="s">
        <v>2473</v>
      </c>
      <c r="C237" s="19" t="str">
        <f t="shared" si="3"/>
        <v>Yi Jie Ang</v>
      </c>
      <c r="D237" s="19" t="s">
        <v>1489</v>
      </c>
      <c r="E237" s="19" t="s">
        <v>1953</v>
      </c>
      <c r="F237" s="19" t="s">
        <v>1491</v>
      </c>
      <c r="G237" s="19" t="s">
        <v>1954</v>
      </c>
      <c r="H237" s="19">
        <v>97596779</v>
      </c>
      <c r="I237" s="14"/>
      <c r="J237" s="14"/>
      <c r="K237" s="14"/>
      <c r="L237" s="14"/>
      <c r="M237" s="14"/>
    </row>
    <row r="238" spans="1:13" ht="23">
      <c r="A238" s="19" t="s">
        <v>4488</v>
      </c>
      <c r="B238" s="19" t="s">
        <v>4599</v>
      </c>
      <c r="C238" s="19" t="str">
        <f t="shared" si="3"/>
        <v>Azan Salahhudin</v>
      </c>
      <c r="D238" s="19" t="s">
        <v>1489</v>
      </c>
      <c r="E238" s="19" t="s">
        <v>1955</v>
      </c>
      <c r="F238" s="19" t="s">
        <v>1491</v>
      </c>
      <c r="G238" s="19" t="s">
        <v>1956</v>
      </c>
      <c r="H238" s="19">
        <v>91141603</v>
      </c>
      <c r="I238" s="14"/>
      <c r="J238" s="14"/>
      <c r="K238" s="14"/>
      <c r="L238" s="14"/>
      <c r="M238" s="14"/>
    </row>
    <row r="239" spans="1:13" ht="12.5">
      <c r="A239" s="19" t="s">
        <v>842</v>
      </c>
      <c r="B239" s="19" t="s">
        <v>4394</v>
      </c>
      <c r="C239" s="19" t="str">
        <f t="shared" si="3"/>
        <v xml:space="preserve">NA </v>
      </c>
      <c r="D239" s="19" t="s">
        <v>1489</v>
      </c>
      <c r="E239" s="19" t="s">
        <v>1957</v>
      </c>
      <c r="F239" s="19" t="s">
        <v>1491</v>
      </c>
      <c r="G239" s="19" t="s">
        <v>842</v>
      </c>
      <c r="H239" s="19" t="s">
        <v>1958</v>
      </c>
      <c r="I239" s="14"/>
      <c r="J239" s="14"/>
      <c r="K239" s="14"/>
      <c r="L239" s="14"/>
      <c r="M239" s="14"/>
    </row>
    <row r="240" spans="1:13" ht="12.5">
      <c r="A240" s="19" t="s">
        <v>575</v>
      </c>
      <c r="B240" s="19" t="s">
        <v>1959</v>
      </c>
      <c r="C240" s="19" t="str">
        <f t="shared" si="3"/>
        <v>Ben Fones</v>
      </c>
      <c r="D240" s="19" t="s">
        <v>1489</v>
      </c>
      <c r="E240" s="19" t="s">
        <v>1960</v>
      </c>
      <c r="F240" s="19" t="s">
        <v>1491</v>
      </c>
      <c r="G240" s="19" t="s">
        <v>1961</v>
      </c>
      <c r="H240" s="19">
        <v>6596802008</v>
      </c>
      <c r="I240" s="14"/>
      <c r="J240" s="14"/>
      <c r="K240" s="14"/>
      <c r="L240" s="14"/>
      <c r="M240" s="14"/>
    </row>
    <row r="241" spans="1:13" ht="23">
      <c r="A241" s="19" t="s">
        <v>4489</v>
      </c>
      <c r="B241" s="19" t="s">
        <v>842</v>
      </c>
      <c r="C241" s="19" t="str">
        <f t="shared" si="3"/>
        <v>J NA</v>
      </c>
      <c r="D241" s="19" t="s">
        <v>1489</v>
      </c>
      <c r="E241" s="19" t="s">
        <v>1962</v>
      </c>
      <c r="F241" s="19" t="s">
        <v>1491</v>
      </c>
      <c r="G241" s="19" t="s">
        <v>1963</v>
      </c>
      <c r="H241" s="19">
        <v>93375555</v>
      </c>
      <c r="I241" s="14"/>
      <c r="J241" s="14"/>
      <c r="K241" s="14"/>
      <c r="L241" s="14"/>
      <c r="M241" s="14"/>
    </row>
    <row r="242" spans="1:13" ht="23">
      <c r="A242" s="19" t="s">
        <v>807</v>
      </c>
      <c r="B242" s="19" t="s">
        <v>2473</v>
      </c>
      <c r="C242" s="19" t="str">
        <f t="shared" si="3"/>
        <v>Nicholas Ang</v>
      </c>
      <c r="D242" s="19" t="s">
        <v>1489</v>
      </c>
      <c r="E242" s="19" t="s">
        <v>1964</v>
      </c>
      <c r="F242" s="19" t="s">
        <v>1491</v>
      </c>
      <c r="G242" s="19" t="s">
        <v>1965</v>
      </c>
      <c r="H242" s="19" t="s">
        <v>842</v>
      </c>
      <c r="I242" s="14"/>
      <c r="J242" s="14"/>
      <c r="K242" s="14"/>
      <c r="L242" s="14"/>
      <c r="M242" s="14"/>
    </row>
    <row r="243" spans="1:13" ht="12.5">
      <c r="A243" s="19" t="s">
        <v>828</v>
      </c>
      <c r="B243" s="19" t="s">
        <v>4481</v>
      </c>
      <c r="C243" s="19" t="str">
        <f t="shared" si="3"/>
        <v>Yeo Eng</v>
      </c>
      <c r="D243" s="19" t="s">
        <v>1489</v>
      </c>
      <c r="E243" s="19" t="s">
        <v>1966</v>
      </c>
      <c r="F243" s="19" t="s">
        <v>1491</v>
      </c>
      <c r="G243" s="19" t="s">
        <v>1967</v>
      </c>
      <c r="H243" s="19" t="s">
        <v>1968</v>
      </c>
      <c r="I243" s="14"/>
      <c r="J243" s="14"/>
      <c r="K243" s="14"/>
      <c r="L243" s="14"/>
      <c r="M243" s="14"/>
    </row>
    <row r="244" spans="1:13" ht="23">
      <c r="A244" s="19" t="s">
        <v>807</v>
      </c>
      <c r="B244" s="19" t="s">
        <v>2473</v>
      </c>
      <c r="C244" s="19" t="str">
        <f t="shared" si="3"/>
        <v>Nicholas Ang</v>
      </c>
      <c r="D244" s="19" t="s">
        <v>1489</v>
      </c>
      <c r="E244" s="19" t="s">
        <v>1969</v>
      </c>
      <c r="F244" s="19" t="s">
        <v>1491</v>
      </c>
      <c r="G244" s="19" t="s">
        <v>1965</v>
      </c>
      <c r="H244" s="19" t="s">
        <v>1970</v>
      </c>
      <c r="I244" s="14"/>
      <c r="J244" s="14"/>
      <c r="K244" s="14"/>
      <c r="L244" s="14"/>
      <c r="M244" s="14"/>
    </row>
    <row r="245" spans="1:13" ht="12.5">
      <c r="A245" s="19" t="s">
        <v>4413</v>
      </c>
      <c r="B245" s="19" t="s">
        <v>4572</v>
      </c>
      <c r="C245" s="19" t="str">
        <f t="shared" si="3"/>
        <v>Anil Sabnani</v>
      </c>
      <c r="D245" s="19" t="s">
        <v>1489</v>
      </c>
      <c r="E245" s="19" t="s">
        <v>1582</v>
      </c>
      <c r="F245" s="19" t="s">
        <v>1491</v>
      </c>
      <c r="G245" s="19" t="s">
        <v>1583</v>
      </c>
      <c r="H245" s="19">
        <v>97331442</v>
      </c>
      <c r="I245" s="14"/>
      <c r="J245" s="14"/>
      <c r="K245" s="14"/>
      <c r="L245" s="14"/>
      <c r="M245" s="14"/>
    </row>
    <row r="246" spans="1:13" ht="12.5">
      <c r="A246" s="19" t="s">
        <v>4490</v>
      </c>
      <c r="B246" s="19" t="s">
        <v>842</v>
      </c>
      <c r="C246" s="19" t="str">
        <f t="shared" si="3"/>
        <v>vivian NA</v>
      </c>
      <c r="D246" s="19" t="s">
        <v>1489</v>
      </c>
      <c r="E246" s="19" t="s">
        <v>1971</v>
      </c>
      <c r="F246" s="19" t="s">
        <v>1491</v>
      </c>
      <c r="G246" s="19" t="s">
        <v>1972</v>
      </c>
      <c r="H246" s="19">
        <v>84970137</v>
      </c>
      <c r="I246" s="14"/>
      <c r="J246" s="14"/>
      <c r="K246" s="14"/>
      <c r="L246" s="14"/>
      <c r="M246" s="14"/>
    </row>
    <row r="247" spans="1:13" ht="12.5">
      <c r="A247" s="19" t="s">
        <v>4435</v>
      </c>
      <c r="B247" s="19" t="s">
        <v>842</v>
      </c>
      <c r="C247" s="19" t="str">
        <f t="shared" si="3"/>
        <v>Daniel NA</v>
      </c>
      <c r="D247" s="19" t="s">
        <v>1489</v>
      </c>
      <c r="E247" s="19" t="s">
        <v>1973</v>
      </c>
      <c r="F247" s="19" t="s">
        <v>1491</v>
      </c>
      <c r="G247" s="19" t="s">
        <v>1974</v>
      </c>
      <c r="H247" s="19">
        <v>98570857</v>
      </c>
      <c r="I247" s="14"/>
      <c r="J247" s="14"/>
      <c r="K247" s="14"/>
      <c r="L247" s="14"/>
      <c r="M247" s="14"/>
    </row>
    <row r="248" spans="1:13" ht="12.5">
      <c r="A248" s="19" t="s">
        <v>4491</v>
      </c>
      <c r="B248" s="19" t="s">
        <v>1975</v>
      </c>
      <c r="C248" s="19" t="str">
        <f t="shared" si="3"/>
        <v>Jonathan MA</v>
      </c>
      <c r="D248" s="19" t="s">
        <v>1489</v>
      </c>
      <c r="E248" s="19" t="s">
        <v>1976</v>
      </c>
      <c r="F248" s="19" t="s">
        <v>1491</v>
      </c>
      <c r="G248" s="19" t="s">
        <v>1977</v>
      </c>
      <c r="H248" s="19">
        <v>92391429</v>
      </c>
      <c r="I248" s="14"/>
      <c r="J248" s="14"/>
      <c r="K248" s="14"/>
      <c r="L248" s="14"/>
      <c r="M248" s="14"/>
    </row>
    <row r="249" spans="1:13" ht="23">
      <c r="A249" s="19" t="s">
        <v>1255</v>
      </c>
      <c r="B249" s="19" t="s">
        <v>372</v>
      </c>
      <c r="C249" s="19" t="str">
        <f t="shared" si="3"/>
        <v>Esther Tan</v>
      </c>
      <c r="D249" s="19" t="s">
        <v>1489</v>
      </c>
      <c r="E249" s="19" t="s">
        <v>1978</v>
      </c>
      <c r="F249" s="19" t="s">
        <v>1491</v>
      </c>
      <c r="G249" s="19" t="s">
        <v>1979</v>
      </c>
      <c r="H249" s="19">
        <v>96775134</v>
      </c>
      <c r="I249" s="14"/>
      <c r="J249" s="14"/>
      <c r="K249" s="14"/>
      <c r="L249" s="14"/>
      <c r="M249" s="14"/>
    </row>
    <row r="250" spans="1:13" ht="12.5">
      <c r="A250" s="19" t="s">
        <v>4449</v>
      </c>
      <c r="B250" s="19" t="s">
        <v>842</v>
      </c>
      <c r="C250" s="19" t="str">
        <f t="shared" si="3"/>
        <v>Carol NA</v>
      </c>
      <c r="D250" s="19" t="s">
        <v>1489</v>
      </c>
      <c r="E250" s="19" t="s">
        <v>1980</v>
      </c>
      <c r="F250" s="19" t="s">
        <v>1491</v>
      </c>
      <c r="G250" s="19" t="s">
        <v>1981</v>
      </c>
      <c r="H250" s="19">
        <v>96275177</v>
      </c>
      <c r="I250" s="14"/>
      <c r="J250" s="14"/>
      <c r="K250" s="14"/>
      <c r="L250" s="14"/>
      <c r="M250" s="14"/>
    </row>
    <row r="251" spans="1:13" ht="12.5">
      <c r="A251" s="19" t="s">
        <v>842</v>
      </c>
      <c r="B251" s="19" t="s">
        <v>842</v>
      </c>
      <c r="C251" s="19" t="str">
        <f t="shared" si="3"/>
        <v>NA NA</v>
      </c>
      <c r="D251" s="19" t="s">
        <v>1489</v>
      </c>
      <c r="E251" s="19" t="s">
        <v>1982</v>
      </c>
      <c r="F251" s="19" t="s">
        <v>1491</v>
      </c>
      <c r="G251" s="19" t="s">
        <v>1983</v>
      </c>
      <c r="H251" s="19">
        <v>82989393</v>
      </c>
      <c r="I251" s="14"/>
      <c r="J251" s="14"/>
      <c r="K251" s="14"/>
      <c r="L251" s="14"/>
      <c r="M251" s="14"/>
    </row>
    <row r="252" spans="1:13" ht="12.5">
      <c r="A252" s="19" t="s">
        <v>842</v>
      </c>
      <c r="B252" s="19" t="s">
        <v>842</v>
      </c>
      <c r="C252" s="19" t="str">
        <f t="shared" si="3"/>
        <v>NA NA</v>
      </c>
      <c r="D252" s="19" t="s">
        <v>1489</v>
      </c>
      <c r="E252" s="19" t="s">
        <v>1971</v>
      </c>
      <c r="F252" s="19" t="s">
        <v>1491</v>
      </c>
      <c r="G252" s="19" t="s">
        <v>842</v>
      </c>
      <c r="H252" s="19" t="s">
        <v>1984</v>
      </c>
      <c r="I252" s="14"/>
      <c r="J252" s="14"/>
      <c r="K252" s="14"/>
      <c r="L252" s="14"/>
      <c r="M252" s="14"/>
    </row>
    <row r="253" spans="1:13" ht="12.5">
      <c r="A253" s="19" t="s">
        <v>4492</v>
      </c>
      <c r="B253" s="19" t="s">
        <v>4600</v>
      </c>
      <c r="C253" s="19" t="str">
        <f t="shared" si="3"/>
        <v>Sik Laiping</v>
      </c>
      <c r="D253" s="19" t="s">
        <v>1489</v>
      </c>
      <c r="E253" s="19" t="s">
        <v>1985</v>
      </c>
      <c r="F253" s="19" t="s">
        <v>1491</v>
      </c>
      <c r="G253" s="19" t="s">
        <v>1986</v>
      </c>
      <c r="H253" s="19">
        <v>88184254</v>
      </c>
      <c r="I253" s="14"/>
      <c r="J253" s="14"/>
      <c r="K253" s="14"/>
      <c r="L253" s="14"/>
      <c r="M253" s="14"/>
    </row>
    <row r="254" spans="1:13" ht="12.5">
      <c r="A254" s="19" t="s">
        <v>702</v>
      </c>
      <c r="B254" s="19" t="s">
        <v>842</v>
      </c>
      <c r="C254" s="19" t="str">
        <f t="shared" si="3"/>
        <v>Lim NA</v>
      </c>
      <c r="D254" s="19" t="s">
        <v>1489</v>
      </c>
      <c r="E254" s="19" t="s">
        <v>1987</v>
      </c>
      <c r="F254" s="19" t="s">
        <v>4</v>
      </c>
      <c r="G254" s="19" t="s">
        <v>842</v>
      </c>
      <c r="H254" s="19" t="s">
        <v>1988</v>
      </c>
      <c r="I254" s="14"/>
      <c r="J254" s="14"/>
      <c r="K254" s="14"/>
      <c r="L254" s="14"/>
      <c r="M254" s="14"/>
    </row>
    <row r="255" spans="1:13" ht="23">
      <c r="A255" s="19" t="s">
        <v>4493</v>
      </c>
      <c r="B255" s="19" t="s">
        <v>842</v>
      </c>
      <c r="C255" s="19" t="str">
        <f t="shared" si="3"/>
        <v>Ginnie NA</v>
      </c>
      <c r="D255" s="19" t="s">
        <v>1489</v>
      </c>
      <c r="E255" s="19" t="s">
        <v>1989</v>
      </c>
      <c r="F255" s="19" t="s">
        <v>1491</v>
      </c>
      <c r="G255" s="19" t="s">
        <v>1990</v>
      </c>
      <c r="H255" s="19">
        <v>90400002</v>
      </c>
      <c r="I255" s="14"/>
      <c r="J255" s="14"/>
      <c r="K255" s="14"/>
      <c r="L255" s="14"/>
      <c r="M255" s="14"/>
    </row>
    <row r="256" spans="1:13" ht="23">
      <c r="A256" s="19" t="s">
        <v>4494</v>
      </c>
      <c r="B256" s="19" t="s">
        <v>842</v>
      </c>
      <c r="C256" s="19" t="str">
        <f t="shared" si="3"/>
        <v>Diana NA</v>
      </c>
      <c r="D256" s="19" t="s">
        <v>1489</v>
      </c>
      <c r="E256" s="19" t="s">
        <v>1991</v>
      </c>
      <c r="F256" s="19" t="s">
        <v>1491</v>
      </c>
      <c r="G256" s="19" t="s">
        <v>1992</v>
      </c>
      <c r="H256" s="19">
        <v>88819485</v>
      </c>
      <c r="I256" s="14"/>
      <c r="J256" s="14"/>
      <c r="K256" s="14"/>
      <c r="L256" s="14"/>
      <c r="M256" s="14"/>
    </row>
    <row r="257" spans="1:13" ht="23">
      <c r="A257" s="19" t="s">
        <v>4470</v>
      </c>
      <c r="B257" s="19" t="s">
        <v>1710</v>
      </c>
      <c r="C257" s="19" t="str">
        <f t="shared" si="3"/>
        <v>Evelyn NG</v>
      </c>
      <c r="D257" s="19" t="s">
        <v>1489</v>
      </c>
      <c r="E257" s="19" t="s">
        <v>1993</v>
      </c>
      <c r="F257" s="19" t="s">
        <v>1491</v>
      </c>
      <c r="G257" s="19" t="s">
        <v>1994</v>
      </c>
      <c r="H257" s="19" t="s">
        <v>1995</v>
      </c>
      <c r="I257" s="14"/>
      <c r="J257" s="14"/>
      <c r="K257" s="14"/>
      <c r="L257" s="14"/>
      <c r="M257" s="14"/>
    </row>
    <row r="258" spans="1:13" ht="23">
      <c r="A258" s="19" t="s">
        <v>4495</v>
      </c>
      <c r="B258" s="19" t="s">
        <v>1710</v>
      </c>
      <c r="C258" s="19" t="str">
        <f t="shared" si="3"/>
        <v>Phyllis NG</v>
      </c>
      <c r="D258" s="19" t="s">
        <v>1489</v>
      </c>
      <c r="E258" s="19" t="s">
        <v>1996</v>
      </c>
      <c r="F258" s="19" t="s">
        <v>1491</v>
      </c>
      <c r="G258" s="19" t="s">
        <v>1997</v>
      </c>
      <c r="H258" s="19">
        <v>81632206</v>
      </c>
      <c r="I258" s="14"/>
      <c r="J258" s="14"/>
      <c r="K258" s="14"/>
      <c r="L258" s="14"/>
      <c r="M258" s="14"/>
    </row>
    <row r="259" spans="1:13" ht="12.5">
      <c r="A259" s="19" t="s">
        <v>4496</v>
      </c>
      <c r="B259" s="19" t="s">
        <v>1998</v>
      </c>
      <c r="C259" s="19" t="str">
        <f t="shared" ref="C259:C322" si="4">_xlfn.CONCAT(A259," ",B259)</f>
        <v>april S</v>
      </c>
      <c r="D259" s="19" t="s">
        <v>1489</v>
      </c>
      <c r="E259" s="19" t="s">
        <v>1999</v>
      </c>
      <c r="F259" s="19" t="s">
        <v>1491</v>
      </c>
      <c r="G259" s="19" t="s">
        <v>2000</v>
      </c>
      <c r="H259" s="19">
        <v>91502746</v>
      </c>
      <c r="I259" s="14"/>
      <c r="J259" s="14"/>
      <c r="K259" s="14"/>
      <c r="L259" s="14"/>
      <c r="M259" s="14"/>
    </row>
    <row r="260" spans="1:13" ht="12.5">
      <c r="A260" s="19" t="s">
        <v>3874</v>
      </c>
      <c r="B260" s="19" t="s">
        <v>842</v>
      </c>
      <c r="C260" s="19" t="str">
        <f t="shared" si="4"/>
        <v>Maria NA</v>
      </c>
      <c r="D260" s="19" t="s">
        <v>1489</v>
      </c>
      <c r="E260" s="19" t="s">
        <v>2001</v>
      </c>
      <c r="F260" s="19" t="s">
        <v>1491</v>
      </c>
      <c r="G260" s="19" t="s">
        <v>2002</v>
      </c>
      <c r="H260" s="19">
        <v>93879587</v>
      </c>
      <c r="I260" s="14"/>
      <c r="J260" s="14"/>
      <c r="K260" s="14"/>
      <c r="L260" s="14"/>
      <c r="M260" s="14"/>
    </row>
    <row r="261" spans="1:13" ht="23">
      <c r="A261" s="19" t="s">
        <v>842</v>
      </c>
      <c r="B261" s="19" t="s">
        <v>842</v>
      </c>
      <c r="C261" s="19" t="str">
        <f t="shared" si="4"/>
        <v>NA NA</v>
      </c>
      <c r="D261" s="19" t="s">
        <v>1489</v>
      </c>
      <c r="E261" s="19" t="s">
        <v>2003</v>
      </c>
      <c r="F261" s="19" t="s">
        <v>1491</v>
      </c>
      <c r="G261" s="19" t="s">
        <v>842</v>
      </c>
      <c r="H261" s="19" t="s">
        <v>2004</v>
      </c>
      <c r="I261" s="14"/>
      <c r="J261" s="14"/>
      <c r="K261" s="14"/>
      <c r="L261" s="14"/>
      <c r="M261" s="14"/>
    </row>
    <row r="262" spans="1:13" ht="23">
      <c r="A262" s="19" t="s">
        <v>4497</v>
      </c>
      <c r="B262" s="19" t="s">
        <v>945</v>
      </c>
      <c r="C262" s="19" t="str">
        <f t="shared" si="4"/>
        <v>Hao Yang Yang</v>
      </c>
      <c r="D262" s="19" t="s">
        <v>1489</v>
      </c>
      <c r="E262" s="19" t="s">
        <v>2005</v>
      </c>
      <c r="F262" s="19" t="s">
        <v>1491</v>
      </c>
      <c r="G262" s="19" t="s">
        <v>2006</v>
      </c>
      <c r="H262" s="19">
        <v>81896226</v>
      </c>
      <c r="I262" s="14"/>
      <c r="J262" s="14"/>
      <c r="K262" s="14"/>
      <c r="L262" s="14"/>
      <c r="M262" s="14"/>
    </row>
    <row r="263" spans="1:13" ht="23">
      <c r="A263" s="19" t="s">
        <v>2007</v>
      </c>
      <c r="B263" s="19" t="s">
        <v>828</v>
      </c>
      <c r="C263" s="19" t="str">
        <f t="shared" si="4"/>
        <v>Sebastian Yeo</v>
      </c>
      <c r="D263" s="19" t="s">
        <v>1489</v>
      </c>
      <c r="E263" s="19" t="s">
        <v>2008</v>
      </c>
      <c r="F263" s="19" t="s">
        <v>1491</v>
      </c>
      <c r="G263" s="19" t="s">
        <v>2009</v>
      </c>
      <c r="H263" s="19">
        <v>89212725</v>
      </c>
      <c r="I263" s="14"/>
      <c r="J263" s="14"/>
      <c r="K263" s="14"/>
      <c r="L263" s="14"/>
      <c r="M263" s="14"/>
    </row>
    <row r="264" spans="1:13" ht="23">
      <c r="A264" s="19" t="s">
        <v>580</v>
      </c>
      <c r="B264" s="19" t="s">
        <v>4601</v>
      </c>
      <c r="C264" s="19" t="str">
        <f t="shared" si="4"/>
        <v>Chong Pay</v>
      </c>
      <c r="D264" s="19" t="s">
        <v>1489</v>
      </c>
      <c r="E264" s="19" t="s">
        <v>2010</v>
      </c>
      <c r="F264" s="19" t="s">
        <v>1491</v>
      </c>
      <c r="G264" s="19" t="s">
        <v>2011</v>
      </c>
      <c r="H264" s="19">
        <v>82252282</v>
      </c>
      <c r="I264" s="14"/>
      <c r="J264" s="14"/>
      <c r="K264" s="14"/>
      <c r="L264" s="14"/>
      <c r="M264" s="14"/>
    </row>
    <row r="265" spans="1:13" ht="12.5">
      <c r="A265" s="19" t="s">
        <v>842</v>
      </c>
      <c r="B265" s="19" t="s">
        <v>842</v>
      </c>
      <c r="C265" s="19" t="str">
        <f t="shared" si="4"/>
        <v>NA NA</v>
      </c>
      <c r="D265" s="19" t="s">
        <v>1489</v>
      </c>
      <c r="E265" s="19" t="s">
        <v>2012</v>
      </c>
      <c r="F265" s="19" t="s">
        <v>1491</v>
      </c>
      <c r="G265" s="19" t="s">
        <v>2013</v>
      </c>
      <c r="H265" s="19" t="s">
        <v>842</v>
      </c>
      <c r="I265" s="14"/>
      <c r="J265" s="14"/>
      <c r="K265" s="14"/>
      <c r="L265" s="14"/>
      <c r="M265" s="14"/>
    </row>
    <row r="266" spans="1:13" ht="12.5">
      <c r="A266" s="19" t="s">
        <v>355</v>
      </c>
      <c r="B266" s="19" t="s">
        <v>842</v>
      </c>
      <c r="C266" s="19" t="str">
        <f t="shared" si="4"/>
        <v>Jason NA</v>
      </c>
      <c r="D266" s="19" t="s">
        <v>1489</v>
      </c>
      <c r="E266" s="19" t="s">
        <v>2014</v>
      </c>
      <c r="F266" s="19" t="s">
        <v>1491</v>
      </c>
      <c r="G266" s="19" t="s">
        <v>2015</v>
      </c>
      <c r="H266" s="19" t="s">
        <v>842</v>
      </c>
      <c r="I266" s="14"/>
      <c r="J266" s="14"/>
      <c r="K266" s="14"/>
      <c r="L266" s="14"/>
      <c r="M266" s="14"/>
    </row>
    <row r="267" spans="1:13" ht="23">
      <c r="A267" s="19" t="s">
        <v>4498</v>
      </c>
      <c r="B267" s="19" t="s">
        <v>842</v>
      </c>
      <c r="C267" s="19" t="str">
        <f t="shared" si="4"/>
        <v>Maggie NA</v>
      </c>
      <c r="D267" s="19" t="s">
        <v>1489</v>
      </c>
      <c r="E267" s="19" t="s">
        <v>2016</v>
      </c>
      <c r="F267" s="19" t="s">
        <v>1491</v>
      </c>
      <c r="G267" s="19" t="s">
        <v>2017</v>
      </c>
      <c r="H267" s="19">
        <v>96844160</v>
      </c>
      <c r="I267" s="14"/>
      <c r="J267" s="14"/>
      <c r="K267" s="14"/>
      <c r="L267" s="14"/>
      <c r="M267" s="14"/>
    </row>
    <row r="268" spans="1:13" ht="23">
      <c r="A268" s="19" t="s">
        <v>1433</v>
      </c>
      <c r="B268" s="19" t="s">
        <v>428</v>
      </c>
      <c r="C268" s="19" t="str">
        <f t="shared" si="4"/>
        <v>Germaine Ong</v>
      </c>
      <c r="D268" s="19" t="s">
        <v>1489</v>
      </c>
      <c r="E268" s="19" t="s">
        <v>2018</v>
      </c>
      <c r="F268" s="19" t="s">
        <v>1491</v>
      </c>
      <c r="G268" s="19" t="s">
        <v>842</v>
      </c>
      <c r="H268" s="19" t="s">
        <v>2019</v>
      </c>
      <c r="I268" s="14"/>
      <c r="J268" s="14"/>
      <c r="K268" s="14"/>
      <c r="L268" s="14"/>
      <c r="M268" s="14"/>
    </row>
    <row r="269" spans="1:13" ht="12.5">
      <c r="A269" s="19" t="s">
        <v>842</v>
      </c>
      <c r="B269" s="19" t="s">
        <v>4394</v>
      </c>
      <c r="C269" s="19" t="str">
        <f t="shared" si="4"/>
        <v xml:space="preserve">NA </v>
      </c>
      <c r="D269" s="19" t="s">
        <v>1489</v>
      </c>
      <c r="E269" s="19" t="s">
        <v>2020</v>
      </c>
      <c r="F269" s="19" t="s">
        <v>1491</v>
      </c>
      <c r="G269" s="19" t="s">
        <v>842</v>
      </c>
      <c r="H269" s="19">
        <v>98165668</v>
      </c>
      <c r="I269" s="14"/>
      <c r="J269" s="14"/>
      <c r="K269" s="14"/>
      <c r="L269" s="14"/>
      <c r="M269" s="14"/>
    </row>
    <row r="270" spans="1:13" ht="12.5">
      <c r="A270" s="19" t="s">
        <v>842</v>
      </c>
      <c r="B270" s="19" t="s">
        <v>842</v>
      </c>
      <c r="C270" s="19" t="str">
        <f t="shared" si="4"/>
        <v>NA NA</v>
      </c>
      <c r="D270" s="19" t="s">
        <v>1489</v>
      </c>
      <c r="E270" s="19" t="s">
        <v>2021</v>
      </c>
      <c r="F270" s="19" t="s">
        <v>1491</v>
      </c>
      <c r="G270" s="19" t="s">
        <v>842</v>
      </c>
      <c r="H270" s="19">
        <v>90122280</v>
      </c>
      <c r="I270" s="14"/>
      <c r="J270" s="14"/>
      <c r="K270" s="14"/>
      <c r="L270" s="14"/>
      <c r="M270" s="14"/>
    </row>
    <row r="271" spans="1:13" ht="12.5">
      <c r="A271" s="19" t="s">
        <v>842</v>
      </c>
      <c r="B271" s="19" t="s">
        <v>842</v>
      </c>
      <c r="C271" s="19" t="str">
        <f t="shared" si="4"/>
        <v>NA NA</v>
      </c>
      <c r="D271" s="19" t="s">
        <v>1489</v>
      </c>
      <c r="E271" s="19" t="s">
        <v>2022</v>
      </c>
      <c r="F271" s="19" t="s">
        <v>1491</v>
      </c>
      <c r="G271" s="19" t="s">
        <v>842</v>
      </c>
      <c r="H271" s="19">
        <v>97480689</v>
      </c>
      <c r="I271" s="14"/>
      <c r="J271" s="14"/>
      <c r="K271" s="14"/>
      <c r="L271" s="14"/>
      <c r="M271" s="14"/>
    </row>
    <row r="272" spans="1:13" ht="23">
      <c r="A272" s="19" t="s">
        <v>2023</v>
      </c>
      <c r="B272" s="19" t="s">
        <v>842</v>
      </c>
      <c r="C272" s="19" t="str">
        <f t="shared" si="4"/>
        <v>Lim, NA</v>
      </c>
      <c r="D272" s="19" t="s">
        <v>1489</v>
      </c>
      <c r="E272" s="19" t="s">
        <v>2024</v>
      </c>
      <c r="F272" s="19" t="s">
        <v>1491</v>
      </c>
      <c r="G272" s="19" t="s">
        <v>842</v>
      </c>
      <c r="H272" s="19">
        <v>90605534</v>
      </c>
      <c r="I272" s="14"/>
      <c r="J272" s="14"/>
      <c r="K272" s="14"/>
      <c r="L272" s="14"/>
      <c r="M272" s="14"/>
    </row>
    <row r="273" spans="1:13" ht="23">
      <c r="A273" s="19" t="s">
        <v>842</v>
      </c>
      <c r="B273" s="19" t="s">
        <v>842</v>
      </c>
      <c r="C273" s="19" t="str">
        <f t="shared" si="4"/>
        <v>NA NA</v>
      </c>
      <c r="D273" s="19" t="s">
        <v>1489</v>
      </c>
      <c r="E273" s="19" t="s">
        <v>2025</v>
      </c>
      <c r="F273" s="19" t="s">
        <v>1491</v>
      </c>
      <c r="G273" s="19" t="s">
        <v>842</v>
      </c>
      <c r="H273" s="19">
        <v>90122280</v>
      </c>
      <c r="I273" s="14"/>
      <c r="J273" s="14"/>
      <c r="K273" s="14"/>
      <c r="L273" s="14"/>
      <c r="M273" s="14"/>
    </row>
    <row r="274" spans="1:13" ht="12.5">
      <c r="A274" s="19" t="s">
        <v>4499</v>
      </c>
      <c r="B274" s="19" t="s">
        <v>465</v>
      </c>
      <c r="C274" s="19" t="str">
        <f t="shared" si="4"/>
        <v>Jervis Wong</v>
      </c>
      <c r="D274" s="19" t="s">
        <v>1489</v>
      </c>
      <c r="E274" s="19" t="s">
        <v>2018</v>
      </c>
      <c r="F274" s="19" t="s">
        <v>1491</v>
      </c>
      <c r="G274" s="19" t="s">
        <v>2026</v>
      </c>
      <c r="H274" s="19">
        <v>96269545</v>
      </c>
      <c r="I274" s="14"/>
      <c r="J274" s="14"/>
      <c r="K274" s="14"/>
      <c r="L274" s="14"/>
      <c r="M274" s="14"/>
    </row>
    <row r="275" spans="1:13" ht="23">
      <c r="A275" s="19" t="s">
        <v>4500</v>
      </c>
      <c r="B275" s="19" t="s">
        <v>821</v>
      </c>
      <c r="C275" s="19" t="str">
        <f t="shared" si="4"/>
        <v>Alan Lee</v>
      </c>
      <c r="D275" s="19" t="s">
        <v>1489</v>
      </c>
      <c r="E275" s="19" t="s">
        <v>2027</v>
      </c>
      <c r="F275" s="19" t="s">
        <v>1491</v>
      </c>
      <c r="G275" s="19" t="s">
        <v>2028</v>
      </c>
      <c r="H275" s="19">
        <v>81832747</v>
      </c>
      <c r="I275" s="14"/>
      <c r="J275" s="14"/>
      <c r="K275" s="14"/>
      <c r="L275" s="14"/>
      <c r="M275" s="14"/>
    </row>
    <row r="276" spans="1:13" ht="23">
      <c r="A276" s="19" t="s">
        <v>2862</v>
      </c>
      <c r="B276" s="19" t="s">
        <v>2029</v>
      </c>
      <c r="C276" s="19" t="str">
        <f t="shared" si="4"/>
        <v>Mustafa Nergiz</v>
      </c>
      <c r="D276" s="19" t="s">
        <v>1489</v>
      </c>
      <c r="E276" s="19" t="s">
        <v>2030</v>
      </c>
      <c r="F276" s="19" t="s">
        <v>4</v>
      </c>
      <c r="G276" s="19" t="s">
        <v>2031</v>
      </c>
      <c r="H276" s="19">
        <v>98776927</v>
      </c>
      <c r="I276" s="14"/>
      <c r="J276" s="14"/>
      <c r="K276" s="14"/>
      <c r="L276" s="14"/>
      <c r="M276" s="14"/>
    </row>
    <row r="277" spans="1:13" ht="34.5">
      <c r="A277" s="19" t="s">
        <v>907</v>
      </c>
      <c r="B277" s="19" t="s">
        <v>4602</v>
      </c>
      <c r="C277" s="19" t="str">
        <f t="shared" si="4"/>
        <v>Goh Dorothy</v>
      </c>
      <c r="D277" s="19" t="s">
        <v>1489</v>
      </c>
      <c r="E277" s="19" t="s">
        <v>2032</v>
      </c>
      <c r="F277" s="19" t="s">
        <v>1491</v>
      </c>
      <c r="G277" s="19" t="s">
        <v>2033</v>
      </c>
      <c r="H277" s="19">
        <v>96185050</v>
      </c>
      <c r="I277" s="14"/>
      <c r="J277" s="14"/>
      <c r="K277" s="14"/>
      <c r="L277" s="14"/>
      <c r="M277" s="14"/>
    </row>
    <row r="278" spans="1:13" ht="23">
      <c r="A278" s="19" t="s">
        <v>842</v>
      </c>
      <c r="B278" s="19" t="s">
        <v>842</v>
      </c>
      <c r="C278" s="19" t="str">
        <f t="shared" si="4"/>
        <v>NA NA</v>
      </c>
      <c r="D278" s="19" t="s">
        <v>1489</v>
      </c>
      <c r="E278" s="19" t="s">
        <v>2034</v>
      </c>
      <c r="F278" s="19" t="s">
        <v>1491</v>
      </c>
      <c r="G278" s="19"/>
      <c r="H278" s="19" t="s">
        <v>2035</v>
      </c>
      <c r="I278" s="14"/>
      <c r="J278" s="14"/>
      <c r="K278" s="14"/>
      <c r="L278" s="14"/>
      <c r="M278" s="14"/>
    </row>
    <row r="279" spans="1:13" ht="12.5">
      <c r="A279" s="19" t="s">
        <v>842</v>
      </c>
      <c r="B279" s="19" t="s">
        <v>842</v>
      </c>
      <c r="C279" s="19" t="str">
        <f t="shared" si="4"/>
        <v>NA NA</v>
      </c>
      <c r="D279" s="19" t="s">
        <v>1489</v>
      </c>
      <c r="E279" s="19" t="s">
        <v>2036</v>
      </c>
      <c r="F279" s="19" t="s">
        <v>4</v>
      </c>
      <c r="G279" s="19"/>
      <c r="H279" s="19" t="s">
        <v>2037</v>
      </c>
      <c r="I279" s="14"/>
      <c r="J279" s="14"/>
      <c r="K279" s="14"/>
      <c r="L279" s="14"/>
      <c r="M279" s="14"/>
    </row>
    <row r="280" spans="1:13" ht="12.5">
      <c r="A280" s="19" t="s">
        <v>4501</v>
      </c>
      <c r="B280" s="19" t="s">
        <v>842</v>
      </c>
      <c r="C280" s="19" t="str">
        <f t="shared" si="4"/>
        <v>Shan NA</v>
      </c>
      <c r="D280" s="19" t="s">
        <v>1489</v>
      </c>
      <c r="E280" s="19" t="s">
        <v>2038</v>
      </c>
      <c r="F280" s="19" t="s">
        <v>1491</v>
      </c>
      <c r="G280" s="19" t="s">
        <v>2039</v>
      </c>
      <c r="H280" s="19">
        <v>96357568</v>
      </c>
      <c r="I280" s="14"/>
      <c r="J280" s="14"/>
      <c r="K280" s="14"/>
      <c r="L280" s="14"/>
      <c r="M280" s="14"/>
    </row>
    <row r="281" spans="1:13" ht="23">
      <c r="A281" s="19" t="s">
        <v>2794</v>
      </c>
      <c r="B281" s="19" t="s">
        <v>4603</v>
      </c>
      <c r="C281" s="19" t="str">
        <f t="shared" si="4"/>
        <v>Joseph Lefoort</v>
      </c>
      <c r="D281" s="19" t="s">
        <v>1489</v>
      </c>
      <c r="E281" s="19" t="s">
        <v>2040</v>
      </c>
      <c r="F281" s="19" t="s">
        <v>1491</v>
      </c>
      <c r="G281" s="19" t="s">
        <v>2041</v>
      </c>
      <c r="H281" s="19">
        <v>90044193</v>
      </c>
      <c r="I281" s="14"/>
      <c r="J281" s="14"/>
      <c r="K281" s="14"/>
      <c r="L281" s="14"/>
      <c r="M281" s="14"/>
    </row>
    <row r="282" spans="1:13" ht="12.5">
      <c r="A282" s="19" t="s">
        <v>3804</v>
      </c>
      <c r="B282" s="19" t="s">
        <v>878</v>
      </c>
      <c r="C282" s="19" t="str">
        <f t="shared" si="4"/>
        <v>Melvin Koh</v>
      </c>
      <c r="D282" s="19" t="s">
        <v>1489</v>
      </c>
      <c r="E282" s="19" t="s">
        <v>2042</v>
      </c>
      <c r="F282" s="19" t="s">
        <v>1491</v>
      </c>
      <c r="G282" s="19" t="s">
        <v>2043</v>
      </c>
      <c r="H282" s="19" t="s">
        <v>842</v>
      </c>
      <c r="I282" s="14"/>
      <c r="J282" s="14"/>
      <c r="K282" s="14"/>
      <c r="L282" s="14"/>
      <c r="M282" s="14"/>
    </row>
    <row r="283" spans="1:13" ht="23">
      <c r="A283" s="19" t="s">
        <v>702</v>
      </c>
      <c r="B283" s="19" t="s">
        <v>4604</v>
      </c>
      <c r="C283" s="19" t="str">
        <f t="shared" si="4"/>
        <v>Lim Cheng</v>
      </c>
      <c r="D283" s="19" t="s">
        <v>1489</v>
      </c>
      <c r="E283" s="19" t="s">
        <v>2044</v>
      </c>
      <c r="F283" s="19" t="s">
        <v>1491</v>
      </c>
      <c r="G283" s="19" t="s">
        <v>2045</v>
      </c>
      <c r="H283" s="19">
        <v>83398649</v>
      </c>
      <c r="I283" s="14"/>
      <c r="J283" s="14"/>
      <c r="K283" s="14"/>
      <c r="L283" s="14"/>
      <c r="M283" s="14"/>
    </row>
    <row r="284" spans="1:13" ht="12.5">
      <c r="A284" s="19" t="s">
        <v>842</v>
      </c>
      <c r="B284" s="19" t="s">
        <v>842</v>
      </c>
      <c r="C284" s="19" t="str">
        <f t="shared" si="4"/>
        <v>NA NA</v>
      </c>
      <c r="D284" s="19" t="s">
        <v>1489</v>
      </c>
      <c r="E284" s="19" t="s">
        <v>2046</v>
      </c>
      <c r="F284" s="19" t="s">
        <v>1491</v>
      </c>
      <c r="G284" s="19" t="s">
        <v>2047</v>
      </c>
      <c r="H284" s="19" t="s">
        <v>842</v>
      </c>
      <c r="I284" s="14"/>
      <c r="J284" s="14"/>
      <c r="K284" s="14"/>
      <c r="L284" s="14"/>
      <c r="M284" s="14"/>
    </row>
    <row r="285" spans="1:13" ht="23">
      <c r="A285" s="19" t="s">
        <v>2048</v>
      </c>
      <c r="B285" s="19" t="s">
        <v>428</v>
      </c>
      <c r="C285" s="19" t="str">
        <f t="shared" si="4"/>
        <v>Sherman Ong</v>
      </c>
      <c r="D285" s="19" t="s">
        <v>1489</v>
      </c>
      <c r="E285" s="19" t="s">
        <v>2049</v>
      </c>
      <c r="F285" s="19" t="s">
        <v>1491</v>
      </c>
      <c r="G285" s="19" t="s">
        <v>2050</v>
      </c>
      <c r="H285" s="19">
        <v>68843480</v>
      </c>
      <c r="I285" s="14"/>
      <c r="J285" s="14"/>
      <c r="K285" s="14"/>
      <c r="L285" s="14"/>
      <c r="M285" s="14"/>
    </row>
    <row r="286" spans="1:13" ht="12.5">
      <c r="A286" s="19" t="s">
        <v>2051</v>
      </c>
      <c r="B286" s="19" t="s">
        <v>2052</v>
      </c>
      <c r="C286" s="19" t="str">
        <f t="shared" si="4"/>
        <v>Russ Aldrige</v>
      </c>
      <c r="D286" s="19" t="s">
        <v>1489</v>
      </c>
      <c r="E286" s="19" t="s">
        <v>2053</v>
      </c>
      <c r="F286" s="19" t="s">
        <v>1491</v>
      </c>
      <c r="G286" s="19" t="s">
        <v>2054</v>
      </c>
      <c r="H286" s="19">
        <v>92266774</v>
      </c>
      <c r="I286" s="14"/>
      <c r="J286" s="14"/>
      <c r="K286" s="14"/>
      <c r="L286" s="14"/>
      <c r="M286" s="14"/>
    </row>
    <row r="287" spans="1:13" ht="23">
      <c r="A287" s="19" t="s">
        <v>4502</v>
      </c>
      <c r="B287" s="19" t="s">
        <v>3156</v>
      </c>
      <c r="C287" s="19" t="str">
        <f t="shared" si="4"/>
        <v>Johnny Candra</v>
      </c>
      <c r="D287" s="19" t="s">
        <v>1489</v>
      </c>
      <c r="E287" s="19" t="s">
        <v>2055</v>
      </c>
      <c r="F287" s="19" t="s">
        <v>1491</v>
      </c>
      <c r="G287" s="19" t="s">
        <v>2056</v>
      </c>
      <c r="H287" s="19">
        <v>98000293</v>
      </c>
      <c r="I287" s="14"/>
      <c r="J287" s="14"/>
      <c r="K287" s="14"/>
      <c r="L287" s="14"/>
      <c r="M287" s="14"/>
    </row>
    <row r="288" spans="1:13" ht="12.5">
      <c r="A288" s="19" t="s">
        <v>842</v>
      </c>
      <c r="B288" s="19" t="s">
        <v>4394</v>
      </c>
      <c r="C288" s="19" t="str">
        <f t="shared" si="4"/>
        <v xml:space="preserve">NA </v>
      </c>
      <c r="D288" s="19" t="s">
        <v>1489</v>
      </c>
      <c r="E288" s="19" t="s">
        <v>2057</v>
      </c>
      <c r="F288" s="19" t="s">
        <v>1491</v>
      </c>
      <c r="G288" s="19" t="s">
        <v>842</v>
      </c>
      <c r="H288" s="19">
        <v>96348383</v>
      </c>
      <c r="I288" s="14"/>
      <c r="J288" s="14"/>
      <c r="K288" s="14"/>
      <c r="L288" s="14"/>
      <c r="M288" s="14"/>
    </row>
    <row r="289" spans="1:13" ht="34.5">
      <c r="A289" s="19" t="s">
        <v>4503</v>
      </c>
      <c r="B289" s="19" t="s">
        <v>842</v>
      </c>
      <c r="C289" s="19" t="str">
        <f t="shared" si="4"/>
        <v>Kheng NA</v>
      </c>
      <c r="D289" s="19" t="s">
        <v>1489</v>
      </c>
      <c r="E289" s="19" t="s">
        <v>2058</v>
      </c>
      <c r="F289" s="19" t="s">
        <v>1491</v>
      </c>
      <c r="G289" s="19" t="s">
        <v>2059</v>
      </c>
      <c r="H289" s="19" t="s">
        <v>2060</v>
      </c>
      <c r="I289" s="14"/>
      <c r="J289" s="14"/>
      <c r="K289" s="14"/>
      <c r="L289" s="14"/>
      <c r="M289" s="14"/>
    </row>
    <row r="290" spans="1:13" ht="12.5">
      <c r="A290" s="19" t="s">
        <v>4504</v>
      </c>
      <c r="B290" s="19" t="s">
        <v>372</v>
      </c>
      <c r="C290" s="19" t="str">
        <f t="shared" si="4"/>
        <v>Cat Tan</v>
      </c>
      <c r="D290" s="19" t="s">
        <v>1489</v>
      </c>
      <c r="E290" s="19" t="s">
        <v>2061</v>
      </c>
      <c r="F290" s="19" t="s">
        <v>1491</v>
      </c>
      <c r="G290" s="19" t="s">
        <v>2062</v>
      </c>
      <c r="H290" s="19">
        <v>91070265</v>
      </c>
      <c r="I290" s="14"/>
      <c r="J290" s="14"/>
      <c r="K290" s="14"/>
      <c r="L290" s="14"/>
      <c r="M290" s="14"/>
    </row>
    <row r="291" spans="1:13" ht="23">
      <c r="A291" s="19" t="s">
        <v>348</v>
      </c>
      <c r="B291" s="19" t="s">
        <v>2063</v>
      </c>
      <c r="C291" s="19" t="str">
        <f t="shared" si="4"/>
        <v>Anthony Khung</v>
      </c>
      <c r="D291" s="19" t="s">
        <v>1489</v>
      </c>
      <c r="E291" s="19" t="s">
        <v>2064</v>
      </c>
      <c r="F291" s="19" t="s">
        <v>1491</v>
      </c>
      <c r="G291" s="19" t="s">
        <v>2065</v>
      </c>
      <c r="H291" s="19">
        <v>97873442</v>
      </c>
      <c r="I291" s="14"/>
      <c r="J291" s="14"/>
      <c r="K291" s="14"/>
      <c r="L291" s="14"/>
      <c r="M291" s="14"/>
    </row>
    <row r="292" spans="1:13" ht="12.5">
      <c r="A292" s="19" t="s">
        <v>842</v>
      </c>
      <c r="B292" s="19" t="s">
        <v>842</v>
      </c>
      <c r="C292" s="19" t="str">
        <f t="shared" si="4"/>
        <v>NA NA</v>
      </c>
      <c r="D292" s="19" t="s">
        <v>1489</v>
      </c>
      <c r="E292" s="19" t="s">
        <v>2066</v>
      </c>
      <c r="F292" s="19" t="s">
        <v>1491</v>
      </c>
      <c r="G292" s="19" t="s">
        <v>842</v>
      </c>
      <c r="H292" s="19">
        <v>90705911</v>
      </c>
      <c r="I292" s="14"/>
      <c r="J292" s="14"/>
      <c r="K292" s="14"/>
      <c r="L292" s="14"/>
      <c r="M292" s="14"/>
    </row>
    <row r="293" spans="1:13" ht="12.5">
      <c r="A293" s="19" t="s">
        <v>4505</v>
      </c>
      <c r="B293" s="19" t="s">
        <v>842</v>
      </c>
      <c r="C293" s="19" t="str">
        <f t="shared" si="4"/>
        <v>Sally NA</v>
      </c>
      <c r="D293" s="19" t="s">
        <v>1489</v>
      </c>
      <c r="E293" s="19" t="s">
        <v>2067</v>
      </c>
      <c r="F293" s="19" t="s">
        <v>1491</v>
      </c>
      <c r="G293" s="19" t="s">
        <v>2068</v>
      </c>
      <c r="H293" s="19">
        <v>91296401</v>
      </c>
      <c r="I293" s="14"/>
      <c r="J293" s="14"/>
      <c r="K293" s="14"/>
      <c r="L293" s="14"/>
      <c r="M293" s="14"/>
    </row>
    <row r="294" spans="1:13" ht="12.5">
      <c r="A294" s="19" t="s">
        <v>1345</v>
      </c>
      <c r="B294" s="19" t="s">
        <v>4394</v>
      </c>
      <c r="C294" s="19" t="str">
        <f t="shared" si="4"/>
        <v xml:space="preserve">Lina </v>
      </c>
      <c r="D294" s="19" t="s">
        <v>1489</v>
      </c>
      <c r="E294" s="19" t="s">
        <v>2069</v>
      </c>
      <c r="F294" s="19" t="s">
        <v>4</v>
      </c>
      <c r="G294" s="19" t="s">
        <v>842</v>
      </c>
      <c r="H294" s="19" t="s">
        <v>2070</v>
      </c>
      <c r="I294" s="14"/>
      <c r="J294" s="14"/>
      <c r="K294" s="14"/>
      <c r="L294" s="14"/>
      <c r="M294" s="14"/>
    </row>
    <row r="295" spans="1:13" ht="12.5">
      <c r="A295" s="19" t="s">
        <v>4506</v>
      </c>
      <c r="B295" s="19" t="s">
        <v>2071</v>
      </c>
      <c r="C295" s="19" t="str">
        <f t="shared" si="4"/>
        <v>Hugo Chia</v>
      </c>
      <c r="D295" s="19" t="s">
        <v>1489</v>
      </c>
      <c r="E295" s="19" t="s">
        <v>2072</v>
      </c>
      <c r="F295" s="19" t="s">
        <v>1491</v>
      </c>
      <c r="G295" s="19" t="s">
        <v>2073</v>
      </c>
      <c r="H295" s="19">
        <f>6597641600</f>
        <v>6597641600</v>
      </c>
      <c r="I295" s="14"/>
      <c r="J295" s="14"/>
      <c r="K295" s="14"/>
      <c r="L295" s="14"/>
      <c r="M295" s="14"/>
    </row>
    <row r="296" spans="1:13" ht="23">
      <c r="A296" s="19" t="s">
        <v>1710</v>
      </c>
      <c r="B296" s="19" t="s">
        <v>4605</v>
      </c>
      <c r="C296" s="19" t="str">
        <f t="shared" si="4"/>
        <v>NG Shan Wei</v>
      </c>
      <c r="D296" s="19" t="s">
        <v>1489</v>
      </c>
      <c r="E296" s="19" t="s">
        <v>2074</v>
      </c>
      <c r="F296" s="19" t="s">
        <v>1491</v>
      </c>
      <c r="G296" s="19" t="s">
        <v>2075</v>
      </c>
      <c r="H296" s="19">
        <f>6586982568</f>
        <v>6586982568</v>
      </c>
      <c r="I296" s="14"/>
      <c r="J296" s="14"/>
      <c r="K296" s="14"/>
      <c r="L296" s="14"/>
      <c r="M296" s="14"/>
    </row>
    <row r="297" spans="1:13" ht="34.5">
      <c r="A297" s="19" t="s">
        <v>4507</v>
      </c>
      <c r="B297" s="19" t="s">
        <v>2076</v>
      </c>
      <c r="C297" s="19" t="str">
        <f t="shared" si="4"/>
        <v>Fadil BWM</v>
      </c>
      <c r="D297" s="19" t="s">
        <v>1489</v>
      </c>
      <c r="E297" s="19" t="s">
        <v>1574</v>
      </c>
      <c r="F297" s="19" t="s">
        <v>1491</v>
      </c>
      <c r="G297" s="19" t="s">
        <v>2077</v>
      </c>
      <c r="H297" s="19" t="s">
        <v>2078</v>
      </c>
      <c r="I297" s="14"/>
      <c r="J297" s="14"/>
      <c r="K297" s="14"/>
      <c r="L297" s="14"/>
      <c r="M297" s="14"/>
    </row>
    <row r="298" spans="1:13" ht="12.5">
      <c r="A298" s="19" t="s">
        <v>4508</v>
      </c>
      <c r="B298" s="19" t="s">
        <v>4606</v>
      </c>
      <c r="C298" s="19" t="str">
        <f t="shared" si="4"/>
        <v>Jing Yo Yi</v>
      </c>
      <c r="D298" s="19" t="s">
        <v>1489</v>
      </c>
      <c r="E298" s="19" t="s">
        <v>2079</v>
      </c>
      <c r="F298" s="19" t="s">
        <v>1491</v>
      </c>
      <c r="G298" s="19" t="s">
        <v>2080</v>
      </c>
      <c r="H298" s="19">
        <v>98458246</v>
      </c>
      <c r="I298" s="14"/>
      <c r="J298" s="14"/>
      <c r="K298" s="14"/>
      <c r="L298" s="14"/>
      <c r="M298" s="14"/>
    </row>
    <row r="299" spans="1:13" ht="12.5">
      <c r="A299" s="19" t="s">
        <v>4509</v>
      </c>
      <c r="B299" s="19" t="s">
        <v>842</v>
      </c>
      <c r="C299" s="19" t="str">
        <f t="shared" si="4"/>
        <v>Chien NA</v>
      </c>
      <c r="D299" s="19" t="s">
        <v>1489</v>
      </c>
      <c r="E299" s="19" t="s">
        <v>2081</v>
      </c>
      <c r="F299" s="19" t="s">
        <v>1491</v>
      </c>
      <c r="G299" s="19" t="s">
        <v>2082</v>
      </c>
      <c r="H299" s="19" t="s">
        <v>842</v>
      </c>
      <c r="I299" s="14"/>
      <c r="J299" s="14"/>
      <c r="K299" s="14"/>
      <c r="L299" s="14"/>
      <c r="M299" s="14"/>
    </row>
    <row r="300" spans="1:13" ht="23">
      <c r="A300" s="19" t="s">
        <v>2083</v>
      </c>
      <c r="B300" s="19" t="s">
        <v>3760</v>
      </c>
      <c r="C300" s="19" t="str">
        <f t="shared" si="4"/>
        <v>Jearea Heng</v>
      </c>
      <c r="D300" s="19" t="s">
        <v>1489</v>
      </c>
      <c r="E300" s="19" t="s">
        <v>2084</v>
      </c>
      <c r="F300" s="19" t="s">
        <v>1491</v>
      </c>
      <c r="G300" s="19" t="s">
        <v>2085</v>
      </c>
      <c r="H300" s="19">
        <v>92468366</v>
      </c>
      <c r="I300" s="14"/>
      <c r="J300" s="14"/>
      <c r="K300" s="14"/>
      <c r="L300" s="14"/>
      <c r="M300" s="14"/>
    </row>
    <row r="301" spans="1:13" ht="23">
      <c r="A301" s="19" t="s">
        <v>1117</v>
      </c>
      <c r="B301" s="19" t="s">
        <v>2086</v>
      </c>
      <c r="C301" s="19" t="str">
        <f t="shared" si="4"/>
        <v>Tiara Chopra</v>
      </c>
      <c r="D301" s="19" t="s">
        <v>1489</v>
      </c>
      <c r="E301" s="19" t="s">
        <v>2087</v>
      </c>
      <c r="F301" s="19" t="s">
        <v>1491</v>
      </c>
      <c r="G301" s="19" t="s">
        <v>2088</v>
      </c>
      <c r="H301" s="19" t="s">
        <v>2089</v>
      </c>
      <c r="I301" s="14"/>
      <c r="J301" s="14"/>
      <c r="K301" s="14"/>
      <c r="L301" s="14"/>
      <c r="M301" s="14"/>
    </row>
    <row r="302" spans="1:13" ht="12.5">
      <c r="A302" s="19" t="s">
        <v>4510</v>
      </c>
      <c r="B302" s="19" t="s">
        <v>4607</v>
      </c>
      <c r="C302" s="19" t="str">
        <f t="shared" si="4"/>
        <v>Daryl Hor</v>
      </c>
      <c r="D302" s="19" t="s">
        <v>1489</v>
      </c>
      <c r="E302" s="19" t="s">
        <v>2090</v>
      </c>
      <c r="F302" s="19" t="s">
        <v>1491</v>
      </c>
      <c r="G302" s="19" t="s">
        <v>2091</v>
      </c>
      <c r="H302" s="19">
        <v>91866100</v>
      </c>
      <c r="I302" s="14"/>
      <c r="J302" s="14"/>
      <c r="K302" s="14"/>
      <c r="L302" s="14"/>
      <c r="M302" s="14"/>
    </row>
    <row r="303" spans="1:13" ht="23">
      <c r="A303" s="19" t="s">
        <v>4511</v>
      </c>
      <c r="B303" s="19" t="s">
        <v>702</v>
      </c>
      <c r="C303" s="19" t="str">
        <f t="shared" si="4"/>
        <v>Constante Lim</v>
      </c>
      <c r="D303" s="19" t="s">
        <v>1489</v>
      </c>
      <c r="E303" s="19" t="s">
        <v>2092</v>
      </c>
      <c r="F303" s="19" t="s">
        <v>1491</v>
      </c>
      <c r="G303" s="19" t="s">
        <v>2093</v>
      </c>
      <c r="H303" s="19">
        <v>94843544</v>
      </c>
      <c r="I303" s="14"/>
      <c r="J303" s="14"/>
      <c r="K303" s="14"/>
      <c r="L303" s="14"/>
      <c r="M303" s="14"/>
    </row>
    <row r="304" spans="1:13" ht="12.5">
      <c r="A304" s="19" t="s">
        <v>4512</v>
      </c>
      <c r="B304" s="19" t="s">
        <v>372</v>
      </c>
      <c r="C304" s="19" t="str">
        <f t="shared" si="4"/>
        <v>Wyncy Tan</v>
      </c>
      <c r="D304" s="19" t="s">
        <v>1489</v>
      </c>
      <c r="E304" s="19" t="s">
        <v>2094</v>
      </c>
      <c r="F304" s="19" t="s">
        <v>1491</v>
      </c>
      <c r="G304" s="19" t="s">
        <v>2095</v>
      </c>
      <c r="H304" s="19">
        <v>97816541</v>
      </c>
      <c r="I304" s="14"/>
      <c r="J304" s="14"/>
      <c r="K304" s="14"/>
      <c r="L304" s="14"/>
      <c r="M304" s="14"/>
    </row>
    <row r="305" spans="1:13" ht="12.5">
      <c r="A305" s="19" t="s">
        <v>846</v>
      </c>
      <c r="B305" s="19" t="s">
        <v>482</v>
      </c>
      <c r="C305" s="19" t="str">
        <f t="shared" si="4"/>
        <v>Wilson Loh</v>
      </c>
      <c r="D305" s="19" t="s">
        <v>1489</v>
      </c>
      <c r="E305" s="19" t="s">
        <v>2096</v>
      </c>
      <c r="F305" s="19" t="s">
        <v>1491</v>
      </c>
      <c r="G305" s="19" t="s">
        <v>2097</v>
      </c>
      <c r="H305" s="19">
        <v>94775778</v>
      </c>
      <c r="I305" s="14"/>
      <c r="J305" s="14"/>
      <c r="K305" s="14"/>
      <c r="L305" s="14"/>
      <c r="M305" s="14"/>
    </row>
    <row r="306" spans="1:13" ht="12.5">
      <c r="A306" s="19" t="s">
        <v>4513</v>
      </c>
      <c r="B306" s="19" t="s">
        <v>2098</v>
      </c>
      <c r="C306" s="19" t="str">
        <f t="shared" si="4"/>
        <v>Cavin Te</v>
      </c>
      <c r="D306" s="19" t="s">
        <v>1489</v>
      </c>
      <c r="E306" s="19" t="s">
        <v>2099</v>
      </c>
      <c r="F306" s="19" t="s">
        <v>1491</v>
      </c>
      <c r="G306" s="19" t="s">
        <v>2100</v>
      </c>
      <c r="H306" s="19">
        <v>81574841</v>
      </c>
      <c r="I306" s="14"/>
      <c r="J306" s="14"/>
      <c r="K306" s="14"/>
      <c r="L306" s="14"/>
      <c r="M306" s="14"/>
    </row>
    <row r="307" spans="1:13" ht="12.5">
      <c r="A307" s="19" t="s">
        <v>4514</v>
      </c>
      <c r="B307" s="19" t="s">
        <v>334</v>
      </c>
      <c r="C307" s="19" t="str">
        <f t="shared" si="4"/>
        <v>Regine Liew</v>
      </c>
      <c r="D307" s="19" t="s">
        <v>1489</v>
      </c>
      <c r="E307" s="19" t="s">
        <v>2101</v>
      </c>
      <c r="F307" s="19" t="s">
        <v>1491</v>
      </c>
      <c r="G307" s="19" t="s">
        <v>2102</v>
      </c>
      <c r="H307" s="19">
        <v>88142018</v>
      </c>
      <c r="I307" s="14"/>
      <c r="J307" s="14"/>
      <c r="K307" s="14"/>
      <c r="L307" s="14"/>
      <c r="M307" s="14"/>
    </row>
    <row r="308" spans="1:13" ht="12.5">
      <c r="A308" s="19" t="s">
        <v>4515</v>
      </c>
      <c r="B308" s="19" t="s">
        <v>773</v>
      </c>
      <c r="C308" s="19" t="str">
        <f t="shared" si="4"/>
        <v>Penn Isaac</v>
      </c>
      <c r="D308" s="19" t="s">
        <v>1489</v>
      </c>
      <c r="E308" s="19" t="s">
        <v>2103</v>
      </c>
      <c r="F308" s="19" t="s">
        <v>1491</v>
      </c>
      <c r="G308" s="19" t="s">
        <v>2104</v>
      </c>
      <c r="H308" s="19" t="s">
        <v>842</v>
      </c>
      <c r="I308" s="14"/>
      <c r="J308" s="14"/>
      <c r="K308" s="14"/>
      <c r="L308" s="14"/>
      <c r="M308" s="14"/>
    </row>
    <row r="309" spans="1:13" ht="23">
      <c r="A309" s="19" t="s">
        <v>4394</v>
      </c>
      <c r="B309" s="19" t="s">
        <v>4394</v>
      </c>
      <c r="C309" s="19" t="str">
        <f t="shared" si="4"/>
        <v xml:space="preserve"> </v>
      </c>
      <c r="D309" s="19" t="s">
        <v>1489</v>
      </c>
      <c r="E309" s="19" t="s">
        <v>2105</v>
      </c>
      <c r="F309" s="19" t="s">
        <v>1491</v>
      </c>
      <c r="G309" s="19" t="s">
        <v>842</v>
      </c>
      <c r="H309" s="19">
        <v>91912022</v>
      </c>
      <c r="I309" s="14"/>
      <c r="J309" s="14"/>
      <c r="K309" s="14"/>
      <c r="L309" s="14"/>
      <c r="M309" s="14"/>
    </row>
    <row r="310" spans="1:13" ht="12.5">
      <c r="A310" s="19" t="s">
        <v>4516</v>
      </c>
      <c r="B310" s="19" t="s">
        <v>462</v>
      </c>
      <c r="C310" s="19" t="str">
        <f t="shared" si="4"/>
        <v>Oliver Pang</v>
      </c>
      <c r="D310" s="19" t="s">
        <v>1489</v>
      </c>
      <c r="E310" s="19" t="s">
        <v>2106</v>
      </c>
      <c r="F310" s="19" t="s">
        <v>1491</v>
      </c>
      <c r="G310" s="19" t="s">
        <v>2107</v>
      </c>
      <c r="H310" s="19">
        <v>98897498</v>
      </c>
      <c r="I310" s="14"/>
      <c r="J310" s="14"/>
      <c r="K310" s="14"/>
      <c r="L310" s="14"/>
      <c r="M310" s="14"/>
    </row>
    <row r="311" spans="1:13" ht="12.5">
      <c r="A311" s="19" t="s">
        <v>4517</v>
      </c>
      <c r="B311" s="19" t="s">
        <v>4394</v>
      </c>
      <c r="C311" s="19" t="str">
        <f t="shared" si="4"/>
        <v xml:space="preserve">Guo YAo </v>
      </c>
      <c r="D311" s="19" t="s">
        <v>1489</v>
      </c>
      <c r="E311" s="19" t="s">
        <v>2108</v>
      </c>
      <c r="F311" s="19" t="s">
        <v>4</v>
      </c>
      <c r="G311" s="19" t="s">
        <v>2109</v>
      </c>
      <c r="H311" s="19">
        <v>98752064</v>
      </c>
      <c r="I311" s="14"/>
      <c r="J311" s="14"/>
      <c r="K311" s="14"/>
      <c r="L311" s="14"/>
      <c r="M311" s="14"/>
    </row>
    <row r="312" spans="1:13" ht="12.5">
      <c r="A312" s="19" t="s">
        <v>2110</v>
      </c>
      <c r="B312" s="19" t="s">
        <v>702</v>
      </c>
      <c r="C312" s="19" t="str">
        <f t="shared" si="4"/>
        <v>Corrine Lim</v>
      </c>
      <c r="D312" s="19" t="s">
        <v>1489</v>
      </c>
      <c r="E312" s="19" t="s">
        <v>2111</v>
      </c>
      <c r="F312" s="19" t="s">
        <v>1491</v>
      </c>
      <c r="G312" s="19" t="s">
        <v>2112</v>
      </c>
      <c r="H312" s="19">
        <v>97993545</v>
      </c>
      <c r="I312" s="14"/>
      <c r="J312" s="14"/>
      <c r="K312" s="14"/>
      <c r="L312" s="14"/>
      <c r="M312" s="14"/>
    </row>
    <row r="313" spans="1:13" ht="12.5">
      <c r="A313" s="19" t="s">
        <v>4518</v>
      </c>
      <c r="B313" s="19" t="s">
        <v>842</v>
      </c>
      <c r="C313" s="19" t="str">
        <f t="shared" si="4"/>
        <v>Min NA</v>
      </c>
      <c r="D313" s="19" t="s">
        <v>1489</v>
      </c>
      <c r="E313" s="19" t="s">
        <v>2113</v>
      </c>
      <c r="F313" s="19" t="s">
        <v>1491</v>
      </c>
      <c r="G313" s="19" t="s">
        <v>2114</v>
      </c>
      <c r="H313" s="19" t="s">
        <v>842</v>
      </c>
      <c r="I313" s="14"/>
      <c r="J313" s="14"/>
      <c r="K313" s="14"/>
      <c r="L313" s="14"/>
      <c r="M313" s="14"/>
    </row>
    <row r="314" spans="1:13" ht="12.5">
      <c r="A314" s="19" t="s">
        <v>4519</v>
      </c>
      <c r="B314" s="19" t="s">
        <v>842</v>
      </c>
      <c r="C314" s="19" t="str">
        <f t="shared" si="4"/>
        <v>Hiro NA</v>
      </c>
      <c r="D314" s="19" t="s">
        <v>1489</v>
      </c>
      <c r="E314" s="19" t="s">
        <v>2115</v>
      </c>
      <c r="F314" s="19" t="s">
        <v>1491</v>
      </c>
      <c r="G314" s="19" t="s">
        <v>2116</v>
      </c>
      <c r="H314" s="19" t="s">
        <v>842</v>
      </c>
      <c r="I314" s="14"/>
      <c r="J314" s="14"/>
      <c r="K314" s="14"/>
      <c r="L314" s="14"/>
      <c r="M314" s="14"/>
    </row>
    <row r="315" spans="1:13" ht="23">
      <c r="A315" s="19" t="s">
        <v>842</v>
      </c>
      <c r="B315" s="19" t="s">
        <v>702</v>
      </c>
      <c r="C315" s="19" t="str">
        <f t="shared" si="4"/>
        <v>NA Lim</v>
      </c>
      <c r="D315" s="19" t="s">
        <v>1489</v>
      </c>
      <c r="E315" s="19" t="s">
        <v>2117</v>
      </c>
      <c r="F315" s="19" t="s">
        <v>1491</v>
      </c>
      <c r="G315" s="19" t="s">
        <v>842</v>
      </c>
      <c r="H315" s="19">
        <v>85336703</v>
      </c>
      <c r="I315" s="14"/>
      <c r="J315" s="14"/>
      <c r="K315" s="14"/>
      <c r="L315" s="14"/>
      <c r="M315" s="14"/>
    </row>
    <row r="316" spans="1:13" ht="23">
      <c r="A316" s="19" t="s">
        <v>4520</v>
      </c>
      <c r="B316" s="19" t="s">
        <v>842</v>
      </c>
      <c r="C316" s="19" t="str">
        <f t="shared" si="4"/>
        <v>Crystal NA</v>
      </c>
      <c r="D316" s="19" t="s">
        <v>1489</v>
      </c>
      <c r="E316" s="19" t="s">
        <v>2118</v>
      </c>
      <c r="F316" s="19" t="s">
        <v>1491</v>
      </c>
      <c r="G316" s="19" t="s">
        <v>2119</v>
      </c>
      <c r="H316" s="19">
        <v>97735318</v>
      </c>
      <c r="I316" s="14"/>
      <c r="J316" s="14"/>
      <c r="K316" s="14"/>
      <c r="L316" s="14"/>
      <c r="M316" s="14"/>
    </row>
    <row r="317" spans="1:13" ht="23">
      <c r="A317" s="19" t="s">
        <v>4521</v>
      </c>
      <c r="B317" s="19" t="s">
        <v>4608</v>
      </c>
      <c r="C317" s="19" t="str">
        <f t="shared" si="4"/>
        <v>Geetham Katba</v>
      </c>
      <c r="D317" s="19" t="s">
        <v>1489</v>
      </c>
      <c r="E317" s="19" t="s">
        <v>2120</v>
      </c>
      <c r="F317" s="19" t="s">
        <v>1491</v>
      </c>
      <c r="G317" s="19" t="s">
        <v>2121</v>
      </c>
      <c r="H317" s="19">
        <v>92423574</v>
      </c>
      <c r="I317" s="14"/>
      <c r="J317" s="14"/>
      <c r="K317" s="14"/>
      <c r="L317" s="14"/>
      <c r="M317" s="14"/>
    </row>
    <row r="318" spans="1:13" ht="12.5">
      <c r="A318" s="19" t="s">
        <v>2122</v>
      </c>
      <c r="B318" s="19" t="s">
        <v>945</v>
      </c>
      <c r="C318" s="19" t="str">
        <f t="shared" si="4"/>
        <v>Xue Yang</v>
      </c>
      <c r="D318" s="19" t="s">
        <v>1489</v>
      </c>
      <c r="E318" s="19" t="s">
        <v>2123</v>
      </c>
      <c r="F318" s="19" t="s">
        <v>1491</v>
      </c>
      <c r="G318" s="19" t="s">
        <v>2124</v>
      </c>
      <c r="H318" s="19">
        <v>88005533</v>
      </c>
      <c r="I318" s="14"/>
      <c r="J318" s="14"/>
      <c r="K318" s="14"/>
      <c r="L318" s="14"/>
      <c r="M318" s="14"/>
    </row>
    <row r="319" spans="1:13" ht="12.5">
      <c r="A319" s="19" t="s">
        <v>4522</v>
      </c>
      <c r="B319" s="19" t="s">
        <v>4568</v>
      </c>
      <c r="C319" s="19" t="str">
        <f t="shared" si="4"/>
        <v>YAm Paul</v>
      </c>
      <c r="D319" s="19" t="s">
        <v>1489</v>
      </c>
      <c r="E319" s="19" t="s">
        <v>2125</v>
      </c>
      <c r="F319" s="19" t="s">
        <v>1491</v>
      </c>
      <c r="G319" s="20" t="s">
        <v>2126</v>
      </c>
      <c r="H319" s="19">
        <v>62891605</v>
      </c>
      <c r="I319" s="14"/>
      <c r="J319" s="14"/>
      <c r="K319" s="14"/>
      <c r="L319" s="14"/>
      <c r="M319" s="14"/>
    </row>
    <row r="320" spans="1:13" ht="12.5">
      <c r="A320" s="19" t="s">
        <v>821</v>
      </c>
      <c r="B320" s="19" t="s">
        <v>842</v>
      </c>
      <c r="C320" s="19" t="str">
        <f t="shared" si="4"/>
        <v>Lee NA</v>
      </c>
      <c r="D320" s="19" t="s">
        <v>1489</v>
      </c>
      <c r="E320" s="19" t="s">
        <v>2127</v>
      </c>
      <c r="F320" s="19" t="s">
        <v>1491</v>
      </c>
      <c r="G320" s="19" t="s">
        <v>2128</v>
      </c>
      <c r="H320" s="19" t="s">
        <v>2129</v>
      </c>
      <c r="I320" s="14"/>
      <c r="J320" s="14"/>
      <c r="K320" s="14"/>
      <c r="L320" s="14"/>
      <c r="M320" s="14"/>
    </row>
    <row r="321" spans="1:13" ht="12.5">
      <c r="A321" s="19" t="s">
        <v>4472</v>
      </c>
      <c r="B321" s="19" t="s">
        <v>842</v>
      </c>
      <c r="C321" s="19" t="str">
        <f t="shared" si="4"/>
        <v>Videl NA</v>
      </c>
      <c r="D321" s="19" t="s">
        <v>1489</v>
      </c>
      <c r="E321" s="19" t="s">
        <v>2130</v>
      </c>
      <c r="F321" s="19" t="s">
        <v>1491</v>
      </c>
      <c r="G321" s="19" t="s">
        <v>842</v>
      </c>
      <c r="H321" s="19">
        <v>97697704</v>
      </c>
      <c r="I321" s="14"/>
      <c r="J321" s="14"/>
      <c r="K321" s="14"/>
      <c r="L321" s="14"/>
      <c r="M321" s="14"/>
    </row>
    <row r="322" spans="1:13" ht="23">
      <c r="A322" s="19" t="s">
        <v>4523</v>
      </c>
      <c r="B322" s="19" t="s">
        <v>842</v>
      </c>
      <c r="C322" s="19" t="str">
        <f t="shared" si="4"/>
        <v>Zacc NA</v>
      </c>
      <c r="D322" s="19" t="s">
        <v>1489</v>
      </c>
      <c r="E322" s="19" t="s">
        <v>2131</v>
      </c>
      <c r="F322" s="19" t="s">
        <v>1491</v>
      </c>
      <c r="G322" s="20" t="s">
        <v>2132</v>
      </c>
      <c r="H322" s="19">
        <v>91525566</v>
      </c>
      <c r="I322" s="14"/>
      <c r="J322" s="14"/>
      <c r="K322" s="14"/>
      <c r="L322" s="14"/>
      <c r="M322" s="14"/>
    </row>
    <row r="323" spans="1:13" ht="23">
      <c r="A323" s="19" t="s">
        <v>1100</v>
      </c>
      <c r="B323" s="19" t="s">
        <v>1066</v>
      </c>
      <c r="C323" s="19" t="str">
        <f t="shared" ref="C323:C386" si="5">_xlfn.CONCAT(A323," ",B323)</f>
        <v>Jerome Yong</v>
      </c>
      <c r="D323" s="19" t="s">
        <v>1489</v>
      </c>
      <c r="E323" s="19" t="s">
        <v>2133</v>
      </c>
      <c r="F323" s="19" t="s">
        <v>1491</v>
      </c>
      <c r="G323" s="19" t="s">
        <v>2134</v>
      </c>
      <c r="H323" s="19">
        <v>81681379</v>
      </c>
      <c r="I323" s="14"/>
      <c r="J323" s="14"/>
      <c r="K323" s="14"/>
      <c r="L323" s="14"/>
      <c r="M323" s="14"/>
    </row>
    <row r="324" spans="1:13" ht="23">
      <c r="A324" s="19" t="s">
        <v>2660</v>
      </c>
      <c r="B324" s="19" t="s">
        <v>842</v>
      </c>
      <c r="C324" s="19" t="str">
        <f t="shared" si="5"/>
        <v>Edmund NA</v>
      </c>
      <c r="D324" s="19" t="s">
        <v>1489</v>
      </c>
      <c r="E324" s="19" t="s">
        <v>2135</v>
      </c>
      <c r="F324" s="19" t="s">
        <v>1491</v>
      </c>
      <c r="G324" s="19" t="s">
        <v>2136</v>
      </c>
      <c r="H324" s="19">
        <v>81888860</v>
      </c>
      <c r="I324" s="14"/>
      <c r="J324" s="14"/>
      <c r="K324" s="14"/>
      <c r="L324" s="14"/>
      <c r="M324" s="14"/>
    </row>
    <row r="325" spans="1:13" ht="12.5">
      <c r="A325" s="19" t="s">
        <v>4524</v>
      </c>
      <c r="B325" s="19" t="s">
        <v>842</v>
      </c>
      <c r="C325" s="19" t="str">
        <f t="shared" si="5"/>
        <v>Vicky NA</v>
      </c>
      <c r="D325" s="19" t="s">
        <v>1489</v>
      </c>
      <c r="E325" s="19" t="s">
        <v>2137</v>
      </c>
      <c r="F325" s="19" t="s">
        <v>1491</v>
      </c>
      <c r="G325" s="19" t="s">
        <v>2138</v>
      </c>
      <c r="H325" s="19">
        <v>94524354</v>
      </c>
      <c r="I325" s="14"/>
      <c r="J325" s="14"/>
      <c r="K325" s="14"/>
      <c r="L325" s="14"/>
      <c r="M325" s="14"/>
    </row>
    <row r="326" spans="1:13" ht="12.5">
      <c r="A326" s="19" t="s">
        <v>842</v>
      </c>
      <c r="B326" s="19" t="s">
        <v>842</v>
      </c>
      <c r="C326" s="19" t="str">
        <f t="shared" si="5"/>
        <v>NA NA</v>
      </c>
      <c r="D326" s="19" t="s">
        <v>1489</v>
      </c>
      <c r="E326" s="19" t="s">
        <v>2139</v>
      </c>
      <c r="F326" s="19" t="s">
        <v>4</v>
      </c>
      <c r="G326" s="19" t="s">
        <v>842</v>
      </c>
      <c r="H326" s="19">
        <v>96424623</v>
      </c>
      <c r="I326" s="14"/>
      <c r="J326" s="14"/>
      <c r="K326" s="14"/>
      <c r="L326" s="14"/>
      <c r="M326" s="14"/>
    </row>
    <row r="327" spans="1:13" ht="12.5">
      <c r="A327" s="19" t="s">
        <v>842</v>
      </c>
      <c r="B327" s="19" t="s">
        <v>842</v>
      </c>
      <c r="C327" s="19" t="str">
        <f t="shared" si="5"/>
        <v>NA NA</v>
      </c>
      <c r="D327" s="19" t="s">
        <v>1489</v>
      </c>
      <c r="E327" s="19" t="s">
        <v>2140</v>
      </c>
      <c r="F327" s="19" t="s">
        <v>1491</v>
      </c>
      <c r="G327" s="19" t="s">
        <v>842</v>
      </c>
      <c r="H327" s="19">
        <v>83359676</v>
      </c>
      <c r="I327" s="14"/>
      <c r="J327" s="14"/>
      <c r="K327" s="14"/>
      <c r="L327" s="14"/>
      <c r="M327" s="14"/>
    </row>
    <row r="328" spans="1:13" ht="12.5">
      <c r="A328" s="19" t="s">
        <v>702</v>
      </c>
      <c r="B328" s="19" t="s">
        <v>487</v>
      </c>
      <c r="C328" s="19" t="str">
        <f t="shared" si="5"/>
        <v>Lim Andy</v>
      </c>
      <c r="D328" s="19" t="s">
        <v>1489</v>
      </c>
      <c r="E328" s="19" t="s">
        <v>2141</v>
      </c>
      <c r="F328" s="19" t="s">
        <v>4</v>
      </c>
      <c r="G328" s="19" t="s">
        <v>2142</v>
      </c>
      <c r="H328" s="19">
        <v>97808889</v>
      </c>
      <c r="I328" s="14"/>
      <c r="J328" s="14"/>
      <c r="K328" s="14"/>
      <c r="L328" s="14"/>
      <c r="M328" s="14"/>
    </row>
    <row r="329" spans="1:13" ht="12.5">
      <c r="A329" s="19" t="s">
        <v>4525</v>
      </c>
      <c r="B329" s="19" t="s">
        <v>842</v>
      </c>
      <c r="C329" s="19" t="str">
        <f t="shared" si="5"/>
        <v>Emi NA</v>
      </c>
      <c r="D329" s="19" t="s">
        <v>1489</v>
      </c>
      <c r="E329" s="19" t="s">
        <v>2143</v>
      </c>
      <c r="F329" s="19" t="s">
        <v>1491</v>
      </c>
      <c r="G329" s="19" t="s">
        <v>2144</v>
      </c>
      <c r="H329" s="19">
        <v>96890447</v>
      </c>
      <c r="I329" s="14"/>
      <c r="J329" s="14"/>
      <c r="K329" s="14"/>
      <c r="L329" s="14"/>
      <c r="M329" s="14"/>
    </row>
    <row r="330" spans="1:13" ht="12.5">
      <c r="A330" s="19" t="s">
        <v>4526</v>
      </c>
      <c r="B330" s="19" t="s">
        <v>1303</v>
      </c>
      <c r="C330" s="19" t="str">
        <f t="shared" si="5"/>
        <v>Tracy Chin</v>
      </c>
      <c r="D330" s="19" t="s">
        <v>1489</v>
      </c>
      <c r="E330" s="19" t="s">
        <v>2145</v>
      </c>
      <c r="F330" s="19" t="s">
        <v>4</v>
      </c>
      <c r="G330" s="19" t="s">
        <v>2146</v>
      </c>
      <c r="H330" s="19">
        <v>98809819</v>
      </c>
      <c r="I330" s="14"/>
      <c r="J330" s="14"/>
      <c r="K330" s="14"/>
      <c r="L330" s="14"/>
      <c r="M330" s="14"/>
    </row>
    <row r="331" spans="1:13" ht="23">
      <c r="A331" s="19" t="s">
        <v>2543</v>
      </c>
      <c r="B331" s="19" t="s">
        <v>842</v>
      </c>
      <c r="C331" s="19" t="str">
        <f t="shared" si="5"/>
        <v>Josephine NA</v>
      </c>
      <c r="D331" s="19" t="s">
        <v>1489</v>
      </c>
      <c r="E331" s="19" t="s">
        <v>2147</v>
      </c>
      <c r="F331" s="19" t="s">
        <v>1491</v>
      </c>
      <c r="G331" s="19" t="s">
        <v>2148</v>
      </c>
      <c r="H331" s="19">
        <v>91063559</v>
      </c>
      <c r="I331" s="14"/>
      <c r="J331" s="14"/>
      <c r="K331" s="14"/>
      <c r="L331" s="14"/>
      <c r="M331" s="14"/>
    </row>
    <row r="332" spans="1:13" ht="12.5">
      <c r="A332" s="19" t="s">
        <v>842</v>
      </c>
      <c r="B332" s="19" t="s">
        <v>842</v>
      </c>
      <c r="C332" s="19" t="str">
        <f t="shared" si="5"/>
        <v>NA NA</v>
      </c>
      <c r="D332" s="19" t="s">
        <v>1489</v>
      </c>
      <c r="E332" s="19" t="s">
        <v>2149</v>
      </c>
      <c r="F332" s="19" t="s">
        <v>1491</v>
      </c>
      <c r="G332" s="19" t="s">
        <v>842</v>
      </c>
      <c r="H332" s="19"/>
      <c r="I332" s="14"/>
      <c r="J332" s="14"/>
      <c r="K332" s="14"/>
      <c r="L332" s="14"/>
      <c r="M332" s="14"/>
    </row>
    <row r="333" spans="1:13" ht="12.5">
      <c r="A333" s="19" t="s">
        <v>842</v>
      </c>
      <c r="B333" s="19" t="s">
        <v>842</v>
      </c>
      <c r="C333" s="19" t="str">
        <f t="shared" si="5"/>
        <v>NA NA</v>
      </c>
      <c r="D333" s="19" t="s">
        <v>1489</v>
      </c>
      <c r="E333" s="19" t="s">
        <v>2150</v>
      </c>
      <c r="F333" s="19" t="s">
        <v>1491</v>
      </c>
      <c r="G333" s="19" t="s">
        <v>842</v>
      </c>
      <c r="H333" s="19" t="s">
        <v>2151</v>
      </c>
      <c r="I333" s="14"/>
      <c r="J333" s="14"/>
      <c r="K333" s="14"/>
      <c r="L333" s="14"/>
      <c r="M333" s="14"/>
    </row>
    <row r="334" spans="1:13" ht="12.5">
      <c r="A334" s="19" t="s">
        <v>842</v>
      </c>
      <c r="B334" s="19" t="s">
        <v>842</v>
      </c>
      <c r="C334" s="19" t="str">
        <f t="shared" si="5"/>
        <v>NA NA</v>
      </c>
      <c r="D334" s="19" t="s">
        <v>1489</v>
      </c>
      <c r="E334" s="19" t="s">
        <v>2152</v>
      </c>
      <c r="F334" s="19" t="s">
        <v>1491</v>
      </c>
      <c r="G334" s="19" t="s">
        <v>842</v>
      </c>
      <c r="H334" s="19">
        <v>81017378</v>
      </c>
      <c r="I334" s="14"/>
      <c r="J334" s="14"/>
      <c r="K334" s="14"/>
      <c r="L334" s="14"/>
      <c r="M334" s="14"/>
    </row>
    <row r="335" spans="1:13" ht="23">
      <c r="A335" s="19" t="s">
        <v>4527</v>
      </c>
      <c r="B335" s="19" t="s">
        <v>842</v>
      </c>
      <c r="C335" s="19" t="str">
        <f t="shared" si="5"/>
        <v>Karen NA</v>
      </c>
      <c r="D335" s="19" t="s">
        <v>1489</v>
      </c>
      <c r="E335" s="19" t="s">
        <v>2153</v>
      </c>
      <c r="F335" s="19" t="s">
        <v>1491</v>
      </c>
      <c r="G335" s="19" t="s">
        <v>2154</v>
      </c>
      <c r="H335" s="19">
        <v>96879122</v>
      </c>
      <c r="I335" s="14"/>
      <c r="J335" s="14"/>
      <c r="K335" s="14"/>
      <c r="L335" s="14"/>
      <c r="M335" s="14"/>
    </row>
    <row r="336" spans="1:13" ht="12.5">
      <c r="A336" s="19" t="s">
        <v>4528</v>
      </c>
      <c r="B336" s="19" t="s">
        <v>352</v>
      </c>
      <c r="C336" s="19" t="str">
        <f t="shared" si="5"/>
        <v>SS LIM</v>
      </c>
      <c r="D336" s="19" t="s">
        <v>1489</v>
      </c>
      <c r="E336" s="19" t="s">
        <v>2155</v>
      </c>
      <c r="F336" s="19" t="s">
        <v>1491</v>
      </c>
      <c r="G336" s="19" t="s">
        <v>2156</v>
      </c>
      <c r="H336" s="19" t="s">
        <v>842</v>
      </c>
      <c r="I336" s="14"/>
      <c r="J336" s="14"/>
      <c r="K336" s="14"/>
      <c r="L336" s="14"/>
      <c r="M336" s="14"/>
    </row>
    <row r="337" spans="1:13" ht="12.5">
      <c r="A337" s="19" t="s">
        <v>842</v>
      </c>
      <c r="B337" s="19" t="s">
        <v>4394</v>
      </c>
      <c r="C337" s="19" t="str">
        <f t="shared" si="5"/>
        <v xml:space="preserve">NA </v>
      </c>
      <c r="D337" s="19" t="s">
        <v>1489</v>
      </c>
      <c r="E337" s="19" t="s">
        <v>2157</v>
      </c>
      <c r="F337" s="19" t="s">
        <v>1491</v>
      </c>
      <c r="G337" s="19" t="s">
        <v>842</v>
      </c>
      <c r="H337" s="19" t="s">
        <v>2158</v>
      </c>
      <c r="I337" s="14"/>
      <c r="J337" s="14"/>
      <c r="K337" s="14"/>
      <c r="L337" s="14"/>
      <c r="M337" s="14"/>
    </row>
    <row r="338" spans="1:13" ht="12.5">
      <c r="A338" s="19" t="s">
        <v>842</v>
      </c>
      <c r="B338" s="19" t="s">
        <v>842</v>
      </c>
      <c r="C338" s="19" t="str">
        <f t="shared" si="5"/>
        <v>NA NA</v>
      </c>
      <c r="D338" s="19" t="s">
        <v>1489</v>
      </c>
      <c r="E338" s="19" t="s">
        <v>2159</v>
      </c>
      <c r="F338" s="19" t="s">
        <v>1491</v>
      </c>
      <c r="G338" s="19" t="s">
        <v>842</v>
      </c>
      <c r="H338" s="19" t="s">
        <v>2160</v>
      </c>
      <c r="I338" s="14"/>
      <c r="J338" s="14"/>
      <c r="K338" s="14"/>
      <c r="L338" s="14"/>
      <c r="M338" s="14"/>
    </row>
    <row r="339" spans="1:13" ht="12.5">
      <c r="A339" s="19" t="s">
        <v>842</v>
      </c>
      <c r="B339" s="19" t="s">
        <v>4394</v>
      </c>
      <c r="C339" s="19" t="str">
        <f t="shared" si="5"/>
        <v xml:space="preserve">NA </v>
      </c>
      <c r="D339" s="19" t="s">
        <v>1489</v>
      </c>
      <c r="E339" s="19" t="s">
        <v>2161</v>
      </c>
      <c r="F339" s="19" t="s">
        <v>1491</v>
      </c>
      <c r="G339" s="19" t="s">
        <v>842</v>
      </c>
      <c r="H339" s="19" t="s">
        <v>2162</v>
      </c>
      <c r="I339" s="14"/>
      <c r="J339" s="14"/>
      <c r="K339" s="14"/>
      <c r="L339" s="14"/>
      <c r="M339" s="14"/>
    </row>
    <row r="340" spans="1:13" ht="12.5">
      <c r="A340" s="19" t="s">
        <v>4529</v>
      </c>
      <c r="B340" s="19" t="s">
        <v>3763</v>
      </c>
      <c r="C340" s="19" t="str">
        <f t="shared" si="5"/>
        <v>Kai June</v>
      </c>
      <c r="D340" s="19" t="s">
        <v>1489</v>
      </c>
      <c r="E340" s="19" t="s">
        <v>2163</v>
      </c>
      <c r="F340" s="19" t="s">
        <v>1491</v>
      </c>
      <c r="G340" s="19" t="s">
        <v>2164</v>
      </c>
      <c r="H340" s="19">
        <v>6585183289</v>
      </c>
      <c r="I340" s="14"/>
      <c r="J340" s="14"/>
      <c r="K340" s="14"/>
      <c r="L340" s="14"/>
      <c r="M340" s="14"/>
    </row>
    <row r="341" spans="1:13" ht="23">
      <c r="A341" s="19" t="s">
        <v>1785</v>
      </c>
      <c r="B341" s="19" t="s">
        <v>2165</v>
      </c>
      <c r="C341" s="19" t="str">
        <f t="shared" si="5"/>
        <v>Louis Katz</v>
      </c>
      <c r="D341" s="19" t="s">
        <v>1489</v>
      </c>
      <c r="E341" s="19" t="s">
        <v>2166</v>
      </c>
      <c r="F341" s="19" t="s">
        <v>4</v>
      </c>
      <c r="G341" s="19" t="s">
        <v>2167</v>
      </c>
      <c r="H341" s="19" t="s">
        <v>842</v>
      </c>
      <c r="I341" s="14"/>
      <c r="J341" s="14"/>
      <c r="K341" s="14"/>
      <c r="L341" s="14"/>
      <c r="M341" s="14"/>
    </row>
    <row r="342" spans="1:13" ht="12.5">
      <c r="A342" s="19" t="s">
        <v>3725</v>
      </c>
      <c r="B342" s="19" t="s">
        <v>4609</v>
      </c>
      <c r="C342" s="19" t="str">
        <f t="shared" si="5"/>
        <v>Long Min Liau</v>
      </c>
      <c r="D342" s="19" t="s">
        <v>1489</v>
      </c>
      <c r="E342" s="19" t="s">
        <v>2168</v>
      </c>
      <c r="F342" s="19" t="s">
        <v>1491</v>
      </c>
      <c r="G342" s="19" t="s">
        <v>2169</v>
      </c>
      <c r="H342" s="19">
        <v>84186725</v>
      </c>
      <c r="I342" s="14"/>
      <c r="J342" s="14"/>
      <c r="K342" s="14"/>
      <c r="L342" s="14"/>
      <c r="M342" s="14"/>
    </row>
    <row r="343" spans="1:13" ht="12.5">
      <c r="A343" s="19" t="s">
        <v>2170</v>
      </c>
      <c r="B343" s="19" t="s">
        <v>4610</v>
      </c>
      <c r="C343" s="19" t="str">
        <f t="shared" si="5"/>
        <v>Nicolas WM</v>
      </c>
      <c r="D343" s="19" t="s">
        <v>1489</v>
      </c>
      <c r="E343" s="19" t="s">
        <v>2171</v>
      </c>
      <c r="F343" s="19" t="s">
        <v>1491</v>
      </c>
      <c r="G343" s="19" t="s">
        <v>2172</v>
      </c>
      <c r="H343" s="19">
        <v>6591698661</v>
      </c>
      <c r="I343" s="14"/>
      <c r="J343" s="14"/>
      <c r="K343" s="14"/>
      <c r="L343" s="14"/>
      <c r="M343" s="14"/>
    </row>
    <row r="344" spans="1:13" ht="12.5">
      <c r="A344" s="19" t="s">
        <v>473</v>
      </c>
      <c r="B344" s="19" t="s">
        <v>983</v>
      </c>
      <c r="C344" s="19" t="str">
        <f t="shared" si="5"/>
        <v>Chua Hazel</v>
      </c>
      <c r="D344" s="19" t="s">
        <v>1489</v>
      </c>
      <c r="E344" s="19" t="s">
        <v>2173</v>
      </c>
      <c r="F344" s="19" t="s">
        <v>1491</v>
      </c>
      <c r="G344" s="19" t="s">
        <v>986</v>
      </c>
      <c r="H344" s="19">
        <v>97702200</v>
      </c>
      <c r="I344" s="14"/>
      <c r="J344" s="14"/>
      <c r="K344" s="14"/>
      <c r="L344" s="14"/>
      <c r="M344" s="14"/>
    </row>
    <row r="345" spans="1:13" ht="23">
      <c r="A345" s="19" t="s">
        <v>2174</v>
      </c>
      <c r="B345" s="19" t="s">
        <v>4394</v>
      </c>
      <c r="C345" s="19" t="str">
        <f t="shared" si="5"/>
        <v xml:space="preserve">Megusta </v>
      </c>
      <c r="D345" s="19" t="s">
        <v>1489</v>
      </c>
      <c r="E345" s="19" t="s">
        <v>2175</v>
      </c>
      <c r="F345" s="19" t="s">
        <v>1491</v>
      </c>
      <c r="G345" s="19" t="s">
        <v>2176</v>
      </c>
      <c r="H345" s="19">
        <v>87868878</v>
      </c>
      <c r="I345" s="14"/>
      <c r="J345" s="14"/>
      <c r="K345" s="14"/>
      <c r="L345" s="14"/>
      <c r="M345" s="14"/>
    </row>
    <row r="346" spans="1:13" ht="23">
      <c r="A346" s="19" t="s">
        <v>4530</v>
      </c>
      <c r="B346" s="19" t="s">
        <v>2177</v>
      </c>
      <c r="C346" s="19" t="str">
        <f t="shared" si="5"/>
        <v>Rajasekar Y</v>
      </c>
      <c r="D346" s="19" t="s">
        <v>1489</v>
      </c>
      <c r="E346" s="19" t="s">
        <v>2178</v>
      </c>
      <c r="F346" s="19" t="s">
        <v>1491</v>
      </c>
      <c r="G346" s="19" t="s">
        <v>2179</v>
      </c>
      <c r="H346" s="19">
        <v>9866387894</v>
      </c>
      <c r="I346" s="14"/>
      <c r="J346" s="14"/>
      <c r="K346" s="14"/>
      <c r="L346" s="14"/>
      <c r="M346" s="14"/>
    </row>
    <row r="347" spans="1:13" ht="12.5">
      <c r="A347" s="19" t="s">
        <v>4531</v>
      </c>
      <c r="B347" s="19" t="s">
        <v>2755</v>
      </c>
      <c r="C347" s="19" t="str">
        <f t="shared" si="5"/>
        <v>Lilly Sun</v>
      </c>
      <c r="D347" s="19" t="s">
        <v>1489</v>
      </c>
      <c r="E347" s="19" t="s">
        <v>2180</v>
      </c>
      <c r="F347" s="19" t="s">
        <v>1491</v>
      </c>
      <c r="G347" s="19"/>
      <c r="H347" s="19" t="s">
        <v>2181</v>
      </c>
      <c r="I347" s="14"/>
      <c r="J347" s="14"/>
      <c r="K347" s="14"/>
      <c r="L347" s="14"/>
      <c r="M347" s="14"/>
    </row>
    <row r="348" spans="1:13" ht="34.5">
      <c r="A348" s="19" t="s">
        <v>712</v>
      </c>
      <c r="B348" s="19" t="s">
        <v>4611</v>
      </c>
      <c r="C348" s="19" t="str">
        <f t="shared" si="5"/>
        <v>Andrea Tang</v>
      </c>
      <c r="D348" s="19" t="s">
        <v>1489</v>
      </c>
      <c r="E348" s="19" t="s">
        <v>2182</v>
      </c>
      <c r="F348" s="19" t="s">
        <v>1491</v>
      </c>
      <c r="G348" s="19" t="s">
        <v>2183</v>
      </c>
      <c r="H348" s="19">
        <v>82234631</v>
      </c>
      <c r="I348" s="14"/>
      <c r="J348" s="14"/>
      <c r="K348" s="14"/>
      <c r="L348" s="14"/>
      <c r="M348" s="14"/>
    </row>
    <row r="349" spans="1:13" ht="23">
      <c r="A349" s="19" t="s">
        <v>2184</v>
      </c>
      <c r="B349" s="19" t="s">
        <v>372</v>
      </c>
      <c r="C349" s="19" t="str">
        <f t="shared" si="5"/>
        <v>Joanna Tan</v>
      </c>
      <c r="D349" s="19" t="s">
        <v>1489</v>
      </c>
      <c r="E349" s="19" t="s">
        <v>2185</v>
      </c>
      <c r="F349" s="19" t="s">
        <v>1491</v>
      </c>
      <c r="G349" s="19" t="s">
        <v>2186</v>
      </c>
      <c r="H349" s="19">
        <v>90076682</v>
      </c>
      <c r="I349" s="14"/>
      <c r="J349" s="14"/>
      <c r="K349" s="14"/>
      <c r="L349" s="14"/>
      <c r="M349" s="14"/>
    </row>
    <row r="350" spans="1:13" ht="34.5">
      <c r="A350" s="19" t="s">
        <v>2463</v>
      </c>
      <c r="B350" s="19" t="s">
        <v>878</v>
      </c>
      <c r="C350" s="19" t="str">
        <f t="shared" si="5"/>
        <v>Jasmine Koh</v>
      </c>
      <c r="D350" s="19" t="s">
        <v>1489</v>
      </c>
      <c r="E350" s="19" t="s">
        <v>2187</v>
      </c>
      <c r="F350" s="19" t="s">
        <v>1491</v>
      </c>
      <c r="G350" s="19" t="s">
        <v>2188</v>
      </c>
      <c r="H350" s="19">
        <v>87819243</v>
      </c>
      <c r="I350" s="14"/>
      <c r="J350" s="14"/>
      <c r="K350" s="14"/>
      <c r="L350" s="14"/>
      <c r="M350" s="14"/>
    </row>
    <row r="351" spans="1:13" ht="12.5">
      <c r="A351" s="19" t="s">
        <v>1041</v>
      </c>
      <c r="B351" s="19" t="s">
        <v>896</v>
      </c>
      <c r="C351" s="19" t="str">
        <f t="shared" si="5"/>
        <v>Jack Ma</v>
      </c>
      <c r="D351" s="19" t="s">
        <v>1489</v>
      </c>
      <c r="E351" s="19" t="s">
        <v>2189</v>
      </c>
      <c r="F351" s="19" t="s">
        <v>1491</v>
      </c>
      <c r="G351" s="19" t="s">
        <v>2190</v>
      </c>
      <c r="H351" s="19">
        <v>961238923</v>
      </c>
      <c r="I351" s="14"/>
      <c r="J351" s="14"/>
      <c r="K351" s="14"/>
      <c r="L351" s="14"/>
      <c r="M351" s="14"/>
    </row>
    <row r="352" spans="1:13" ht="12.5">
      <c r="A352" s="19" t="s">
        <v>4532</v>
      </c>
      <c r="B352" s="19" t="s">
        <v>842</v>
      </c>
      <c r="C352" s="19" t="str">
        <f t="shared" si="5"/>
        <v>Alberto NA</v>
      </c>
      <c r="D352" s="19" t="s">
        <v>1489</v>
      </c>
      <c r="E352" s="19" t="s">
        <v>2191</v>
      </c>
      <c r="F352" s="19" t="s">
        <v>1491</v>
      </c>
      <c r="G352" s="19" t="s">
        <v>842</v>
      </c>
      <c r="H352" s="19">
        <v>97515441</v>
      </c>
      <c r="I352" s="14"/>
      <c r="J352" s="14"/>
      <c r="K352" s="14"/>
      <c r="L352" s="14"/>
      <c r="M352" s="14"/>
    </row>
    <row r="353" spans="1:13" ht="12.5">
      <c r="A353" s="19" t="s">
        <v>842</v>
      </c>
      <c r="B353" s="19" t="s">
        <v>4394</v>
      </c>
      <c r="C353" s="19" t="str">
        <f t="shared" si="5"/>
        <v xml:space="preserve">NA </v>
      </c>
      <c r="D353" s="19" t="s">
        <v>1489</v>
      </c>
      <c r="E353" s="19" t="s">
        <v>2192</v>
      </c>
      <c r="F353" s="19" t="s">
        <v>1491</v>
      </c>
      <c r="G353" s="19"/>
      <c r="H353" s="19">
        <v>87688587</v>
      </c>
      <c r="I353" s="14"/>
      <c r="J353" s="14"/>
      <c r="K353" s="14"/>
      <c r="L353" s="14"/>
      <c r="M353" s="14"/>
    </row>
    <row r="354" spans="1:13" ht="23">
      <c r="A354" s="19" t="s">
        <v>702</v>
      </c>
      <c r="B354" s="19" t="s">
        <v>842</v>
      </c>
      <c r="C354" s="19" t="str">
        <f t="shared" si="5"/>
        <v>Lim NA</v>
      </c>
      <c r="D354" s="19" t="s">
        <v>1489</v>
      </c>
      <c r="E354" s="19" t="s">
        <v>2193</v>
      </c>
      <c r="F354" s="19" t="s">
        <v>1491</v>
      </c>
      <c r="G354" s="19" t="s">
        <v>842</v>
      </c>
      <c r="H354" s="19">
        <v>92259456</v>
      </c>
      <c r="I354" s="14"/>
      <c r="J354" s="14"/>
      <c r="K354" s="14"/>
      <c r="L354" s="14"/>
      <c r="M354" s="14"/>
    </row>
    <row r="355" spans="1:13" ht="23">
      <c r="A355" s="19" t="s">
        <v>4533</v>
      </c>
      <c r="B355" s="19" t="s">
        <v>4612</v>
      </c>
      <c r="C355" s="19" t="str">
        <f t="shared" si="5"/>
        <v>Yi Ting Teh</v>
      </c>
      <c r="D355" s="19" t="s">
        <v>1489</v>
      </c>
      <c r="E355" s="19" t="s">
        <v>2194</v>
      </c>
      <c r="F355" s="19" t="s">
        <v>1491</v>
      </c>
      <c r="G355" s="19" t="s">
        <v>2195</v>
      </c>
      <c r="H355" s="19">
        <v>97399626</v>
      </c>
      <c r="I355" s="14"/>
      <c r="J355" s="14"/>
      <c r="K355" s="14"/>
      <c r="L355" s="14"/>
      <c r="M355" s="14"/>
    </row>
    <row r="356" spans="1:13" ht="12.5">
      <c r="A356" s="19" t="s">
        <v>842</v>
      </c>
      <c r="B356" s="19" t="s">
        <v>4394</v>
      </c>
      <c r="C356" s="19" t="str">
        <f t="shared" si="5"/>
        <v xml:space="preserve">NA </v>
      </c>
      <c r="D356" s="19" t="s">
        <v>1489</v>
      </c>
      <c r="E356" s="19" t="s">
        <v>2196</v>
      </c>
      <c r="F356" s="19" t="s">
        <v>1491</v>
      </c>
      <c r="G356" s="19" t="s">
        <v>842</v>
      </c>
      <c r="H356" s="19">
        <v>81681379</v>
      </c>
      <c r="I356" s="14"/>
      <c r="J356" s="14"/>
      <c r="K356" s="14"/>
      <c r="L356" s="14"/>
      <c r="M356" s="14"/>
    </row>
    <row r="357" spans="1:13" ht="34.5">
      <c r="A357" s="19" t="s">
        <v>1226</v>
      </c>
      <c r="B357" s="19" t="s">
        <v>702</v>
      </c>
      <c r="C357" s="19" t="str">
        <f t="shared" si="5"/>
        <v>Cheryl Lim</v>
      </c>
      <c r="D357" s="19" t="s">
        <v>1489</v>
      </c>
      <c r="E357" s="19" t="s">
        <v>2197</v>
      </c>
      <c r="F357" s="19" t="s">
        <v>1491</v>
      </c>
      <c r="G357" s="19" t="s">
        <v>2198</v>
      </c>
      <c r="H357" s="19">
        <v>90274088</v>
      </c>
      <c r="I357" s="14"/>
      <c r="J357" s="14"/>
      <c r="K357" s="14"/>
      <c r="L357" s="14"/>
      <c r="M357" s="14"/>
    </row>
    <row r="358" spans="1:13" ht="23">
      <c r="A358" s="19" t="s">
        <v>842</v>
      </c>
      <c r="B358" s="19" t="s">
        <v>4394</v>
      </c>
      <c r="C358" s="19" t="str">
        <f t="shared" si="5"/>
        <v xml:space="preserve">NA </v>
      </c>
      <c r="D358" s="19" t="s">
        <v>1489</v>
      </c>
      <c r="E358" s="19" t="s">
        <v>2199</v>
      </c>
      <c r="F358" s="19" t="s">
        <v>1491</v>
      </c>
      <c r="G358" s="19"/>
      <c r="H358" s="19" t="s">
        <v>2200</v>
      </c>
      <c r="I358" s="14"/>
      <c r="J358" s="14"/>
      <c r="K358" s="14"/>
      <c r="L358" s="14"/>
      <c r="M358" s="14"/>
    </row>
    <row r="359" spans="1:13" ht="12.5">
      <c r="A359" s="19" t="s">
        <v>842</v>
      </c>
      <c r="B359" s="19" t="s">
        <v>4394</v>
      </c>
      <c r="C359" s="19" t="str">
        <f t="shared" si="5"/>
        <v xml:space="preserve">NA </v>
      </c>
      <c r="D359" s="19" t="s">
        <v>1489</v>
      </c>
      <c r="E359" s="19" t="s">
        <v>2201</v>
      </c>
      <c r="F359" s="19" t="s">
        <v>1491</v>
      </c>
      <c r="G359" s="19"/>
      <c r="H359" s="19" t="s">
        <v>2202</v>
      </c>
      <c r="I359" s="14"/>
      <c r="J359" s="14"/>
      <c r="K359" s="14"/>
      <c r="L359" s="14"/>
      <c r="M359" s="14"/>
    </row>
    <row r="360" spans="1:13" ht="12.5">
      <c r="A360" s="19" t="s">
        <v>842</v>
      </c>
      <c r="B360" s="19" t="s">
        <v>4394</v>
      </c>
      <c r="C360" s="19" t="str">
        <f t="shared" si="5"/>
        <v xml:space="preserve">NA </v>
      </c>
      <c r="D360" s="19" t="s">
        <v>1489</v>
      </c>
      <c r="E360" s="19" t="s">
        <v>2203</v>
      </c>
      <c r="F360" s="19" t="s">
        <v>1491</v>
      </c>
      <c r="G360" s="19"/>
      <c r="H360" s="19">
        <v>92210045</v>
      </c>
      <c r="I360" s="14"/>
      <c r="J360" s="14"/>
      <c r="K360" s="14"/>
      <c r="L360" s="14"/>
      <c r="M360" s="14"/>
    </row>
    <row r="361" spans="1:13" ht="12.5">
      <c r="A361" s="19" t="s">
        <v>702</v>
      </c>
      <c r="B361" s="19" t="s">
        <v>842</v>
      </c>
      <c r="C361" s="19" t="str">
        <f t="shared" si="5"/>
        <v>Lim NA</v>
      </c>
      <c r="D361" s="19" t="s">
        <v>1489</v>
      </c>
      <c r="E361" s="19" t="s">
        <v>2204</v>
      </c>
      <c r="F361" s="19" t="s">
        <v>1491</v>
      </c>
      <c r="G361" s="19"/>
      <c r="H361" s="19">
        <v>86475308</v>
      </c>
      <c r="I361" s="14"/>
      <c r="J361" s="14"/>
      <c r="K361" s="14"/>
      <c r="L361" s="14"/>
      <c r="M361" s="14"/>
    </row>
    <row r="362" spans="1:13" ht="23">
      <c r="A362" s="19" t="s">
        <v>4534</v>
      </c>
      <c r="B362" s="19" t="s">
        <v>842</v>
      </c>
      <c r="C362" s="19" t="str">
        <f t="shared" si="5"/>
        <v>Dawni NA</v>
      </c>
      <c r="D362" s="19" t="s">
        <v>1489</v>
      </c>
      <c r="E362" s="19" t="s">
        <v>2205</v>
      </c>
      <c r="F362" s="19" t="s">
        <v>1491</v>
      </c>
      <c r="G362" s="19" t="s">
        <v>2206</v>
      </c>
      <c r="H362" s="19">
        <v>90500014</v>
      </c>
      <c r="I362" s="14"/>
      <c r="J362" s="14"/>
      <c r="K362" s="14"/>
      <c r="L362" s="14"/>
      <c r="M362" s="14"/>
    </row>
    <row r="363" spans="1:13" ht="12.5">
      <c r="A363" s="19" t="s">
        <v>2207</v>
      </c>
      <c r="B363" s="19" t="s">
        <v>842</v>
      </c>
      <c r="C363" s="19" t="str">
        <f t="shared" si="5"/>
        <v>Niyas NA</v>
      </c>
      <c r="D363" s="19" t="s">
        <v>1489</v>
      </c>
      <c r="E363" s="19" t="s">
        <v>2208</v>
      </c>
      <c r="F363" s="19" t="s">
        <v>1491</v>
      </c>
      <c r="G363" s="19" t="s">
        <v>2209</v>
      </c>
      <c r="H363" s="19" t="s">
        <v>842</v>
      </c>
      <c r="I363" s="14"/>
      <c r="J363" s="14"/>
      <c r="K363" s="14"/>
      <c r="L363" s="14"/>
      <c r="M363" s="14"/>
    </row>
    <row r="364" spans="1:13" ht="12.5">
      <c r="A364" s="19" t="s">
        <v>842</v>
      </c>
      <c r="B364" s="19" t="s">
        <v>4394</v>
      </c>
      <c r="C364" s="19" t="str">
        <f t="shared" si="5"/>
        <v xml:space="preserve">NA </v>
      </c>
      <c r="D364" s="19" t="s">
        <v>1489</v>
      </c>
      <c r="E364" s="19" t="s">
        <v>2210</v>
      </c>
      <c r="F364" s="19" t="s">
        <v>1491</v>
      </c>
      <c r="G364" s="19" t="s">
        <v>2211</v>
      </c>
      <c r="H364" s="19" t="s">
        <v>842</v>
      </c>
      <c r="I364" s="14"/>
      <c r="J364" s="14"/>
      <c r="K364" s="14"/>
      <c r="L364" s="14"/>
      <c r="M364" s="14"/>
    </row>
    <row r="365" spans="1:13" ht="12.5">
      <c r="A365" s="19" t="s">
        <v>4535</v>
      </c>
      <c r="B365" s="19" t="s">
        <v>821</v>
      </c>
      <c r="C365" s="19" t="str">
        <f t="shared" si="5"/>
        <v>Cynthia Lee</v>
      </c>
      <c r="D365" s="19" t="s">
        <v>1489</v>
      </c>
      <c r="E365" s="19" t="s">
        <v>2212</v>
      </c>
      <c r="F365" s="19" t="s">
        <v>1491</v>
      </c>
      <c r="G365" s="19" t="s">
        <v>842</v>
      </c>
      <c r="H365" s="19">
        <v>91820553</v>
      </c>
      <c r="I365" s="14"/>
      <c r="J365" s="14"/>
      <c r="K365" s="14"/>
      <c r="L365" s="14"/>
      <c r="M365" s="14"/>
    </row>
    <row r="366" spans="1:13" ht="23">
      <c r="A366" s="19" t="s">
        <v>2213</v>
      </c>
      <c r="B366" s="19" t="s">
        <v>372</v>
      </c>
      <c r="C366" s="19" t="str">
        <f t="shared" si="5"/>
        <v>KT Tan</v>
      </c>
      <c r="D366" s="19" t="s">
        <v>1489</v>
      </c>
      <c r="E366" s="19" t="s">
        <v>2214</v>
      </c>
      <c r="F366" s="19" t="s">
        <v>1491</v>
      </c>
      <c r="G366" s="19" t="s">
        <v>2215</v>
      </c>
      <c r="H366" s="19">
        <v>96688569</v>
      </c>
      <c r="I366" s="14"/>
      <c r="J366" s="14"/>
      <c r="K366" s="14"/>
      <c r="L366" s="14"/>
      <c r="M366" s="14"/>
    </row>
    <row r="367" spans="1:13" ht="23">
      <c r="A367" s="19" t="s">
        <v>842</v>
      </c>
      <c r="B367" s="19" t="s">
        <v>842</v>
      </c>
      <c r="C367" s="19" t="str">
        <f t="shared" si="5"/>
        <v>NA NA</v>
      </c>
      <c r="D367" s="19" t="s">
        <v>1489</v>
      </c>
      <c r="E367" s="19" t="s">
        <v>2216</v>
      </c>
      <c r="F367" s="19" t="s">
        <v>1491</v>
      </c>
      <c r="G367" s="19"/>
      <c r="H367" s="19" t="s">
        <v>2217</v>
      </c>
      <c r="I367" s="14"/>
      <c r="J367" s="14"/>
      <c r="K367" s="14"/>
      <c r="L367" s="14"/>
      <c r="M367" s="14"/>
    </row>
    <row r="368" spans="1:13" ht="12.5">
      <c r="A368" s="19" t="s">
        <v>842</v>
      </c>
      <c r="B368" s="19" t="s">
        <v>842</v>
      </c>
      <c r="C368" s="19" t="str">
        <f t="shared" si="5"/>
        <v>NA NA</v>
      </c>
      <c r="D368" s="19" t="s">
        <v>1489</v>
      </c>
      <c r="E368" s="19" t="s">
        <v>2218</v>
      </c>
      <c r="F368" s="19" t="s">
        <v>1491</v>
      </c>
      <c r="G368" s="19" t="s">
        <v>842</v>
      </c>
      <c r="H368" s="19">
        <v>97749529</v>
      </c>
      <c r="I368" s="14"/>
      <c r="J368" s="14"/>
      <c r="K368" s="14"/>
      <c r="L368" s="14"/>
      <c r="M368" s="14"/>
    </row>
    <row r="369" spans="1:13" ht="23">
      <c r="A369" s="19" t="s">
        <v>2219</v>
      </c>
      <c r="B369" s="19" t="s">
        <v>428</v>
      </c>
      <c r="C369" s="19" t="str">
        <f t="shared" si="5"/>
        <v>Rickson
 Ong</v>
      </c>
      <c r="D369" s="19" t="s">
        <v>1489</v>
      </c>
      <c r="E369" s="19" t="s">
        <v>2220</v>
      </c>
      <c r="F369" s="19" t="s">
        <v>1491</v>
      </c>
      <c r="G369" s="19" t="s">
        <v>2221</v>
      </c>
      <c r="H369" s="19" t="s">
        <v>2222</v>
      </c>
      <c r="I369" s="14"/>
      <c r="J369" s="14"/>
      <c r="K369" s="14"/>
      <c r="L369" s="14"/>
      <c r="M369" s="14"/>
    </row>
    <row r="370" spans="1:13" ht="34.5">
      <c r="A370" s="19" t="s">
        <v>2223</v>
      </c>
      <c r="B370" s="19" t="s">
        <v>2224</v>
      </c>
      <c r="C370" s="19" t="str">
        <f t="shared" si="5"/>
        <v xml:space="preserve">Keita
 Ogata
</v>
      </c>
      <c r="D370" s="19" t="s">
        <v>1489</v>
      </c>
      <c r="E370" s="19" t="s">
        <v>2225</v>
      </c>
      <c r="F370" s="19" t="s">
        <v>1491</v>
      </c>
      <c r="G370" s="19" t="s">
        <v>2226</v>
      </c>
      <c r="H370" s="19">
        <v>98245630</v>
      </c>
      <c r="I370" s="14"/>
      <c r="J370" s="14"/>
      <c r="K370" s="14"/>
      <c r="L370" s="14"/>
      <c r="M370" s="14"/>
    </row>
    <row r="371" spans="1:13" ht="12.5">
      <c r="A371" s="19" t="s">
        <v>842</v>
      </c>
      <c r="B371" s="19" t="s">
        <v>4394</v>
      </c>
      <c r="C371" s="19" t="str">
        <f t="shared" si="5"/>
        <v xml:space="preserve">NA </v>
      </c>
      <c r="D371" s="19" t="s">
        <v>1489</v>
      </c>
      <c r="E371" s="19" t="s">
        <v>2227</v>
      </c>
      <c r="F371" s="19" t="s">
        <v>4</v>
      </c>
      <c r="G371" s="19"/>
      <c r="H371" s="19" t="s">
        <v>2228</v>
      </c>
      <c r="I371" s="14"/>
      <c r="J371" s="14"/>
      <c r="K371" s="14"/>
      <c r="L371" s="14"/>
      <c r="M371" s="14"/>
    </row>
    <row r="372" spans="1:13" ht="23">
      <c r="A372" s="19" t="s">
        <v>1403</v>
      </c>
      <c r="B372" s="19" t="s">
        <v>2229</v>
      </c>
      <c r="C372" s="19" t="str">
        <f t="shared" si="5"/>
        <v>Williams Foo</v>
      </c>
      <c r="D372" s="19" t="s">
        <v>1489</v>
      </c>
      <c r="E372" s="19" t="s">
        <v>2230</v>
      </c>
      <c r="F372" s="19" t="s">
        <v>4</v>
      </c>
      <c r="G372" s="19" t="s">
        <v>2231</v>
      </c>
      <c r="H372" s="19">
        <v>81888036</v>
      </c>
      <c r="I372" s="14"/>
      <c r="J372" s="14"/>
      <c r="K372" s="14"/>
      <c r="L372" s="14"/>
      <c r="M372" s="14"/>
    </row>
    <row r="373" spans="1:13" ht="34.5">
      <c r="A373" s="19" t="s">
        <v>2232</v>
      </c>
      <c r="B373" s="19" t="s">
        <v>2233</v>
      </c>
      <c r="C373" s="19" t="str">
        <f t="shared" si="5"/>
        <v>Catherine Noins</v>
      </c>
      <c r="D373" s="19" t="s">
        <v>1489</v>
      </c>
      <c r="E373" s="19" t="s">
        <v>2234</v>
      </c>
      <c r="F373" s="19" t="s">
        <v>1491</v>
      </c>
      <c r="G373" s="19" t="s">
        <v>2235</v>
      </c>
      <c r="H373" s="19">
        <v>83976954</v>
      </c>
      <c r="I373" s="14"/>
      <c r="J373" s="14"/>
      <c r="K373" s="14"/>
      <c r="L373" s="14"/>
      <c r="M373" s="14"/>
    </row>
    <row r="374" spans="1:13" ht="34.5">
      <c r="A374" s="19" t="s">
        <v>4536</v>
      </c>
      <c r="B374" s="19" t="s">
        <v>2236</v>
      </c>
      <c r="C374" s="19" t="str">
        <f t="shared" si="5"/>
        <v>TNG LEE</v>
      </c>
      <c r="D374" s="19" t="s">
        <v>1489</v>
      </c>
      <c r="E374" s="19" t="s">
        <v>2237</v>
      </c>
      <c r="F374" s="19" t="s">
        <v>1491</v>
      </c>
      <c r="G374" s="19" t="s">
        <v>2238</v>
      </c>
      <c r="H374" s="19">
        <v>91838290</v>
      </c>
      <c r="I374" s="14"/>
      <c r="J374" s="14"/>
      <c r="K374" s="14"/>
      <c r="L374" s="14"/>
      <c r="M374" s="14"/>
    </row>
    <row r="375" spans="1:13" ht="12.5">
      <c r="A375" s="19" t="s">
        <v>2239</v>
      </c>
      <c r="B375" s="19" t="s">
        <v>842</v>
      </c>
      <c r="C375" s="19" t="str">
        <f t="shared" si="5"/>
        <v>James NA</v>
      </c>
      <c r="D375" s="19" t="s">
        <v>1489</v>
      </c>
      <c r="E375" s="19" t="s">
        <v>2240</v>
      </c>
      <c r="F375" s="19" t="s">
        <v>1491</v>
      </c>
      <c r="G375" s="19" t="s">
        <v>842</v>
      </c>
      <c r="H375" s="19" t="s">
        <v>2241</v>
      </c>
      <c r="I375" s="14"/>
      <c r="J375" s="14"/>
      <c r="K375" s="14"/>
      <c r="L375" s="14"/>
      <c r="M375" s="14"/>
    </row>
    <row r="376" spans="1:13" ht="34.5">
      <c r="A376" s="19" t="s">
        <v>2242</v>
      </c>
      <c r="B376" s="19" t="s">
        <v>2243</v>
      </c>
      <c r="C376" s="19" t="str">
        <f t="shared" si="5"/>
        <v>Karthik Alagappan</v>
      </c>
      <c r="D376" s="19" t="s">
        <v>1489</v>
      </c>
      <c r="E376" s="19" t="s">
        <v>2244</v>
      </c>
      <c r="F376" s="19" t="s">
        <v>1491</v>
      </c>
      <c r="G376" s="19" t="s">
        <v>2245</v>
      </c>
      <c r="H376" s="19">
        <v>90286401</v>
      </c>
      <c r="I376" s="14"/>
      <c r="J376" s="14"/>
      <c r="K376" s="14"/>
      <c r="L376" s="14"/>
      <c r="M376" s="14"/>
    </row>
    <row r="377" spans="1:13" ht="23">
      <c r="A377" s="19" t="s">
        <v>1041</v>
      </c>
      <c r="B377" s="19" t="s">
        <v>2246</v>
      </c>
      <c r="C377" s="19" t="str">
        <f t="shared" si="5"/>
        <v>Jack Ting</v>
      </c>
      <c r="D377" s="19" t="s">
        <v>1489</v>
      </c>
      <c r="E377" s="19" t="s">
        <v>2247</v>
      </c>
      <c r="F377" s="19" t="s">
        <v>1491</v>
      </c>
      <c r="G377" s="19" t="s">
        <v>2248</v>
      </c>
      <c r="H377" s="19">
        <v>84996609</v>
      </c>
      <c r="I377" s="14"/>
      <c r="J377" s="14"/>
      <c r="K377" s="14"/>
      <c r="L377" s="14"/>
      <c r="M377" s="14"/>
    </row>
    <row r="378" spans="1:13" ht="12.5">
      <c r="A378" s="19" t="s">
        <v>4537</v>
      </c>
      <c r="B378" s="19" t="s">
        <v>4394</v>
      </c>
      <c r="C378" s="19" t="str">
        <f t="shared" si="5"/>
        <v xml:space="preserve">JACK </v>
      </c>
      <c r="D378" s="19" t="s">
        <v>1489</v>
      </c>
      <c r="E378" s="19" t="s">
        <v>2249</v>
      </c>
      <c r="F378" s="19" t="s">
        <v>1491</v>
      </c>
      <c r="G378" s="19"/>
      <c r="H378" s="19">
        <v>84996609</v>
      </c>
      <c r="I378" s="14"/>
      <c r="J378" s="14"/>
      <c r="K378" s="14"/>
      <c r="L378" s="14"/>
      <c r="M378" s="14"/>
    </row>
    <row r="379" spans="1:13" ht="23">
      <c r="A379" s="19" t="s">
        <v>4538</v>
      </c>
      <c r="B379" s="19" t="s">
        <v>4394</v>
      </c>
      <c r="C379" s="19" t="str">
        <f t="shared" si="5"/>
        <v xml:space="preserve">Justin </v>
      </c>
      <c r="D379" s="19" t="s">
        <v>1489</v>
      </c>
      <c r="E379" s="19" t="s">
        <v>2250</v>
      </c>
      <c r="F379" s="19" t="s">
        <v>1491</v>
      </c>
      <c r="G379" s="19" t="s">
        <v>2251</v>
      </c>
      <c r="H379" s="19" t="s">
        <v>2252</v>
      </c>
      <c r="I379" s="14"/>
      <c r="J379" s="14"/>
      <c r="K379" s="14"/>
      <c r="L379" s="14"/>
      <c r="M379" s="14"/>
    </row>
    <row r="380" spans="1:13" ht="12.5">
      <c r="A380" s="19" t="s">
        <v>842</v>
      </c>
      <c r="B380" s="19" t="s">
        <v>4394</v>
      </c>
      <c r="C380" s="19" t="str">
        <f t="shared" si="5"/>
        <v xml:space="preserve">NA </v>
      </c>
      <c r="D380" s="19" t="s">
        <v>1489</v>
      </c>
      <c r="E380" s="19" t="s">
        <v>2253</v>
      </c>
      <c r="F380" s="19" t="s">
        <v>1491</v>
      </c>
      <c r="G380" s="19" t="s">
        <v>842</v>
      </c>
      <c r="H380" s="19" t="s">
        <v>2254</v>
      </c>
      <c r="I380" s="14"/>
      <c r="J380" s="14"/>
      <c r="K380" s="14"/>
      <c r="L380" s="14"/>
      <c r="M380" s="14"/>
    </row>
    <row r="381" spans="1:13" ht="23">
      <c r="A381" s="19" t="s">
        <v>932</v>
      </c>
      <c r="B381" s="19" t="s">
        <v>2255</v>
      </c>
      <c r="C381" s="19" t="str">
        <f t="shared" si="5"/>
        <v>Amanda Moo</v>
      </c>
      <c r="D381" s="19" t="s">
        <v>1489</v>
      </c>
      <c r="E381" s="19" t="s">
        <v>2256</v>
      </c>
      <c r="F381" s="19" t="s">
        <v>1491</v>
      </c>
      <c r="G381" s="19" t="s">
        <v>2257</v>
      </c>
      <c r="H381" s="19">
        <v>81506748</v>
      </c>
      <c r="I381" s="14"/>
      <c r="J381" s="14"/>
      <c r="K381" s="14"/>
      <c r="L381" s="14"/>
      <c r="M381" s="14"/>
    </row>
    <row r="382" spans="1:13" ht="34.5">
      <c r="A382" s="19" t="s">
        <v>2258</v>
      </c>
      <c r="B382" s="19" t="s">
        <v>2259</v>
      </c>
      <c r="C382" s="19" t="str">
        <f t="shared" si="5"/>
        <v xml:space="preserve">Bilal
 UR REHMAN
</v>
      </c>
      <c r="D382" s="19" t="s">
        <v>1489</v>
      </c>
      <c r="E382" s="19" t="s">
        <v>2260</v>
      </c>
      <c r="F382" s="19" t="s">
        <v>1491</v>
      </c>
      <c r="G382" s="19" t="s">
        <v>2261</v>
      </c>
      <c r="H382" s="19">
        <v>90671070</v>
      </c>
      <c r="I382" s="14"/>
      <c r="J382" s="14"/>
      <c r="K382" s="14"/>
      <c r="L382" s="14"/>
      <c r="M382" s="14"/>
    </row>
    <row r="383" spans="1:13" ht="23">
      <c r="A383" s="19" t="s">
        <v>660</v>
      </c>
      <c r="B383" s="19" t="s">
        <v>2262</v>
      </c>
      <c r="C383" s="19" t="str">
        <f t="shared" si="5"/>
        <v>Chris Sim</v>
      </c>
      <c r="D383" s="19" t="s">
        <v>1489</v>
      </c>
      <c r="E383" s="19" t="s">
        <v>2263</v>
      </c>
      <c r="F383" s="19" t="s">
        <v>1491</v>
      </c>
      <c r="G383" s="19" t="s">
        <v>2264</v>
      </c>
      <c r="H383" s="19">
        <v>90661443</v>
      </c>
      <c r="I383" s="14"/>
      <c r="J383" s="14"/>
      <c r="K383" s="14"/>
      <c r="L383" s="14"/>
      <c r="M383" s="14"/>
    </row>
    <row r="384" spans="1:13" ht="23">
      <c r="A384" s="19" t="s">
        <v>4539</v>
      </c>
      <c r="B384" s="19" t="s">
        <v>842</v>
      </c>
      <c r="C384" s="19" t="str">
        <f t="shared" si="5"/>
        <v>Charley NA</v>
      </c>
      <c r="D384" s="19" t="s">
        <v>1489</v>
      </c>
      <c r="E384" s="19" t="s">
        <v>2265</v>
      </c>
      <c r="F384" s="19" t="s">
        <v>1491</v>
      </c>
      <c r="G384" s="19" t="s">
        <v>2266</v>
      </c>
      <c r="H384" s="19">
        <v>87931768</v>
      </c>
      <c r="I384" s="14"/>
      <c r="J384" s="14"/>
      <c r="K384" s="14"/>
      <c r="L384" s="14"/>
      <c r="M384" s="14"/>
    </row>
    <row r="385" spans="1:13" ht="23">
      <c r="A385" s="19" t="s">
        <v>4394</v>
      </c>
      <c r="B385" s="19" t="s">
        <v>4394</v>
      </c>
      <c r="C385" s="19" t="str">
        <f t="shared" si="5"/>
        <v xml:space="preserve"> </v>
      </c>
      <c r="D385" s="19" t="s">
        <v>1489</v>
      </c>
      <c r="E385" s="19" t="s">
        <v>2267</v>
      </c>
      <c r="F385" s="19" t="s">
        <v>1491</v>
      </c>
      <c r="G385" s="19" t="s">
        <v>2268</v>
      </c>
      <c r="H385" s="19" t="s">
        <v>842</v>
      </c>
      <c r="I385" s="14"/>
      <c r="J385" s="14"/>
      <c r="K385" s="14"/>
      <c r="L385" s="14"/>
      <c r="M385" s="14"/>
    </row>
    <row r="386" spans="1:13" ht="23">
      <c r="A386" s="19" t="s">
        <v>2269</v>
      </c>
      <c r="B386" s="19" t="s">
        <v>2270</v>
      </c>
      <c r="C386" s="19" t="str">
        <f t="shared" si="5"/>
        <v>Marc
 Thio</v>
      </c>
      <c r="D386" s="19" t="s">
        <v>1489</v>
      </c>
      <c r="E386" s="19" t="s">
        <v>2271</v>
      </c>
      <c r="F386" s="19" t="s">
        <v>4</v>
      </c>
      <c r="G386" s="19" t="s">
        <v>2272</v>
      </c>
      <c r="H386" s="19">
        <v>97437768</v>
      </c>
      <c r="I386" s="14"/>
      <c r="J386" s="14"/>
      <c r="K386" s="14"/>
      <c r="L386" s="14"/>
      <c r="M386" s="14"/>
    </row>
    <row r="387" spans="1:13" ht="34.5">
      <c r="A387" s="19" t="s">
        <v>2273</v>
      </c>
      <c r="B387" s="19" t="s">
        <v>842</v>
      </c>
      <c r="C387" s="19" t="str">
        <f t="shared" ref="C387:C450" si="6">_xlfn.CONCAT(A387," ",B387)</f>
        <v>Clement NA</v>
      </c>
      <c r="D387" s="19" t="s">
        <v>1489</v>
      </c>
      <c r="E387" s="19" t="s">
        <v>2274</v>
      </c>
      <c r="F387" s="19" t="s">
        <v>4</v>
      </c>
      <c r="G387" s="19" t="s">
        <v>2275</v>
      </c>
      <c r="H387" s="19">
        <v>90909004</v>
      </c>
      <c r="I387" s="14"/>
      <c r="J387" s="14"/>
      <c r="K387" s="14"/>
      <c r="L387" s="14"/>
      <c r="M387" s="14"/>
    </row>
    <row r="388" spans="1:13" ht="23">
      <c r="A388" s="19" t="s">
        <v>4540</v>
      </c>
      <c r="B388" s="19" t="s">
        <v>842</v>
      </c>
      <c r="C388" s="19" t="str">
        <f t="shared" si="6"/>
        <v>Tanyu Can NA</v>
      </c>
      <c r="D388" s="19" t="s">
        <v>1489</v>
      </c>
      <c r="E388" s="19" t="s">
        <v>2276</v>
      </c>
      <c r="F388" s="19" t="s">
        <v>1491</v>
      </c>
      <c r="G388" s="19"/>
      <c r="H388" s="19">
        <v>83870816</v>
      </c>
      <c r="I388" s="14"/>
      <c r="J388" s="14"/>
      <c r="K388" s="14"/>
      <c r="L388" s="14"/>
      <c r="M388" s="14"/>
    </row>
    <row r="389" spans="1:13" ht="23">
      <c r="A389" s="19" t="s">
        <v>2277</v>
      </c>
      <c r="B389" s="19" t="s">
        <v>842</v>
      </c>
      <c r="C389" s="19" t="str">
        <f t="shared" si="6"/>
        <v>Yaani NA</v>
      </c>
      <c r="D389" s="19" t="s">
        <v>1489</v>
      </c>
      <c r="E389" s="19" t="s">
        <v>2278</v>
      </c>
      <c r="F389" s="19" t="s">
        <v>1491</v>
      </c>
      <c r="G389" s="19" t="s">
        <v>842</v>
      </c>
      <c r="H389" s="19">
        <v>96457291</v>
      </c>
      <c r="I389" s="14"/>
      <c r="J389" s="14"/>
      <c r="K389" s="14"/>
      <c r="L389" s="14"/>
      <c r="M389" s="14"/>
    </row>
    <row r="390" spans="1:13" ht="23">
      <c r="A390" s="19" t="s">
        <v>2279</v>
      </c>
      <c r="B390" s="19" t="s">
        <v>698</v>
      </c>
      <c r="C390" s="19" t="str">
        <f t="shared" si="6"/>
        <v>Cassandra Lau</v>
      </c>
      <c r="D390" s="19" t="s">
        <v>1489</v>
      </c>
      <c r="E390" s="19" t="s">
        <v>2280</v>
      </c>
      <c r="F390" s="19" t="s">
        <v>1491</v>
      </c>
      <c r="G390" s="19" t="s">
        <v>2281</v>
      </c>
      <c r="H390" s="19">
        <v>93378378</v>
      </c>
      <c r="I390" s="14"/>
      <c r="J390" s="14"/>
      <c r="K390" s="14"/>
      <c r="L390" s="14"/>
      <c r="M390" s="14"/>
    </row>
    <row r="391" spans="1:13" ht="12.5">
      <c r="A391" s="19" t="s">
        <v>702</v>
      </c>
      <c r="B391" s="19" t="s">
        <v>842</v>
      </c>
      <c r="C391" s="19" t="str">
        <f t="shared" si="6"/>
        <v>Lim NA</v>
      </c>
      <c r="D391" s="19" t="s">
        <v>1489</v>
      </c>
      <c r="E391" s="19" t="s">
        <v>2282</v>
      </c>
      <c r="F391" s="19" t="s">
        <v>1491</v>
      </c>
      <c r="G391" s="19" t="s">
        <v>842</v>
      </c>
      <c r="H391" s="19">
        <v>89184868</v>
      </c>
      <c r="I391" s="14"/>
      <c r="J391" s="14"/>
      <c r="K391" s="14"/>
      <c r="L391" s="14"/>
      <c r="M391" s="14"/>
    </row>
    <row r="392" spans="1:13" ht="12.5">
      <c r="A392" s="19" t="s">
        <v>2283</v>
      </c>
      <c r="B392" s="19" t="s">
        <v>842</v>
      </c>
      <c r="C392" s="19" t="str">
        <f t="shared" si="6"/>
        <v>Yaahni NA</v>
      </c>
      <c r="D392" s="19" t="s">
        <v>1489</v>
      </c>
      <c r="E392" s="19" t="s">
        <v>2284</v>
      </c>
      <c r="F392" s="19" t="s">
        <v>1491</v>
      </c>
      <c r="G392" s="19" t="s">
        <v>842</v>
      </c>
      <c r="H392" s="19" t="s">
        <v>2285</v>
      </c>
      <c r="I392" s="14"/>
      <c r="J392" s="14"/>
      <c r="K392" s="14"/>
      <c r="L392" s="14"/>
      <c r="M392" s="14"/>
    </row>
    <row r="393" spans="1:13" ht="12.5">
      <c r="A393" s="19" t="s">
        <v>1041</v>
      </c>
      <c r="B393" s="19" t="s">
        <v>4394</v>
      </c>
      <c r="C393" s="19" t="str">
        <f t="shared" si="6"/>
        <v xml:space="preserve">Jack </v>
      </c>
      <c r="D393" s="19" t="s">
        <v>1489</v>
      </c>
      <c r="E393" s="19" t="s">
        <v>2286</v>
      </c>
      <c r="F393" s="19" t="s">
        <v>1491</v>
      </c>
      <c r="G393" s="19" t="s">
        <v>842</v>
      </c>
      <c r="H393" s="19">
        <v>83110040</v>
      </c>
      <c r="I393" s="14"/>
      <c r="J393" s="14"/>
      <c r="K393" s="14"/>
      <c r="L393" s="14"/>
      <c r="M393" s="14"/>
    </row>
    <row r="394" spans="1:13" ht="12.5">
      <c r="A394" s="19" t="s">
        <v>701</v>
      </c>
      <c r="B394" s="19" t="s">
        <v>4394</v>
      </c>
      <c r="C394" s="19" t="str">
        <f t="shared" si="6"/>
        <v xml:space="preserve">Terence </v>
      </c>
      <c r="D394" s="19" t="s">
        <v>1489</v>
      </c>
      <c r="E394" s="19" t="s">
        <v>2287</v>
      </c>
      <c r="F394" s="19" t="s">
        <v>1491</v>
      </c>
      <c r="G394" s="19"/>
      <c r="H394" s="19">
        <v>81680940</v>
      </c>
      <c r="I394" s="14"/>
      <c r="J394" s="14"/>
      <c r="K394" s="14"/>
      <c r="L394" s="14"/>
      <c r="M394" s="14"/>
    </row>
    <row r="395" spans="1:13" ht="23">
      <c r="A395" s="19" t="s">
        <v>355</v>
      </c>
      <c r="B395" s="19" t="s">
        <v>372</v>
      </c>
      <c r="C395" s="19" t="str">
        <f t="shared" si="6"/>
        <v>Jason Tan</v>
      </c>
      <c r="D395" s="19" t="s">
        <v>1489</v>
      </c>
      <c r="E395" s="19" t="s">
        <v>2288</v>
      </c>
      <c r="F395" s="19" t="s">
        <v>4</v>
      </c>
      <c r="G395" s="19" t="s">
        <v>2289</v>
      </c>
      <c r="H395" s="19">
        <v>98270484</v>
      </c>
      <c r="I395" s="14"/>
      <c r="J395" s="14"/>
      <c r="K395" s="14"/>
      <c r="L395" s="14"/>
      <c r="M395" s="14"/>
    </row>
    <row r="396" spans="1:13" ht="23">
      <c r="A396" s="19" t="s">
        <v>2290</v>
      </c>
      <c r="B396" s="19" t="s">
        <v>842</v>
      </c>
      <c r="C396" s="19" t="str">
        <f t="shared" si="6"/>
        <v>Kumar NA</v>
      </c>
      <c r="D396" s="19" t="s">
        <v>1489</v>
      </c>
      <c r="E396" s="19" t="s">
        <v>2291</v>
      </c>
      <c r="F396" s="19" t="s">
        <v>4</v>
      </c>
      <c r="G396" s="19" t="s">
        <v>2292</v>
      </c>
      <c r="H396" s="19">
        <v>81477767</v>
      </c>
      <c r="I396" s="14"/>
      <c r="J396" s="14"/>
      <c r="K396" s="14"/>
      <c r="L396" s="14"/>
      <c r="M396" s="14"/>
    </row>
    <row r="397" spans="1:13" ht="23">
      <c r="A397" s="19" t="s">
        <v>2293</v>
      </c>
      <c r="B397" s="19" t="s">
        <v>4394</v>
      </c>
      <c r="C397" s="19" t="str">
        <f t="shared" si="6"/>
        <v xml:space="preserve">Samme </v>
      </c>
      <c r="D397" s="19" t="s">
        <v>1489</v>
      </c>
      <c r="E397" s="19" t="s">
        <v>2294</v>
      </c>
      <c r="F397" s="19" t="s">
        <v>4</v>
      </c>
      <c r="G397" s="19" t="s">
        <v>2295</v>
      </c>
      <c r="H397" s="19">
        <v>98206613</v>
      </c>
      <c r="I397" s="14"/>
      <c r="J397" s="14"/>
      <c r="K397" s="14"/>
      <c r="L397" s="14"/>
      <c r="M397" s="14"/>
    </row>
    <row r="398" spans="1:13" ht="23">
      <c r="A398" s="19" t="s">
        <v>1778</v>
      </c>
      <c r="B398" s="19" t="s">
        <v>4613</v>
      </c>
      <c r="C398" s="19" t="str">
        <f t="shared" si="6"/>
        <v>Liang Wei Jie</v>
      </c>
      <c r="D398" s="19" t="s">
        <v>1489</v>
      </c>
      <c r="E398" s="19"/>
      <c r="F398" s="19" t="s">
        <v>4</v>
      </c>
      <c r="G398" s="19" t="s">
        <v>2296</v>
      </c>
      <c r="H398" s="19">
        <v>83397501</v>
      </c>
      <c r="I398" s="14"/>
      <c r="J398" s="14"/>
      <c r="K398" s="14"/>
      <c r="L398" s="14"/>
      <c r="M398" s="14"/>
    </row>
    <row r="399" spans="1:13" ht="12.5">
      <c r="A399" s="19" t="s">
        <v>842</v>
      </c>
      <c r="B399" s="19" t="s">
        <v>4394</v>
      </c>
      <c r="C399" s="19" t="str">
        <f t="shared" si="6"/>
        <v xml:space="preserve">NA </v>
      </c>
      <c r="D399" s="19" t="s">
        <v>1489</v>
      </c>
      <c r="E399" s="19" t="s">
        <v>2297</v>
      </c>
      <c r="F399" s="19" t="s">
        <v>1491</v>
      </c>
      <c r="G399" s="19"/>
      <c r="H399" s="19">
        <v>82472729</v>
      </c>
      <c r="I399" s="14"/>
      <c r="J399" s="14"/>
      <c r="K399" s="14"/>
      <c r="L399" s="14"/>
      <c r="M399" s="14"/>
    </row>
    <row r="400" spans="1:13" ht="34.5">
      <c r="A400" s="19" t="s">
        <v>2578</v>
      </c>
      <c r="B400" s="19" t="s">
        <v>2298</v>
      </c>
      <c r="C400" s="19" t="str">
        <f t="shared" si="6"/>
        <v>Ivan Toh</v>
      </c>
      <c r="D400" s="19" t="s">
        <v>1489</v>
      </c>
      <c r="E400" s="19" t="s">
        <v>2299</v>
      </c>
      <c r="F400" s="19" t="s">
        <v>4</v>
      </c>
      <c r="G400" s="19" t="s">
        <v>2300</v>
      </c>
      <c r="H400" s="19" t="s">
        <v>2301</v>
      </c>
      <c r="I400" s="14"/>
      <c r="J400" s="14"/>
      <c r="K400" s="14"/>
      <c r="L400" s="14"/>
      <c r="M400" s="14"/>
    </row>
    <row r="401" spans="1:13" ht="12.5">
      <c r="A401" s="19" t="s">
        <v>4541</v>
      </c>
      <c r="B401" s="19" t="s">
        <v>4394</v>
      </c>
      <c r="C401" s="19" t="str">
        <f t="shared" si="6"/>
        <v xml:space="preserve">Sofra </v>
      </c>
      <c r="D401" s="19" t="s">
        <v>1489</v>
      </c>
      <c r="E401" s="19" t="s">
        <v>2302</v>
      </c>
      <c r="F401" s="19" t="s">
        <v>4</v>
      </c>
      <c r="G401" s="19" t="s">
        <v>2303</v>
      </c>
      <c r="H401" s="19">
        <v>81186175</v>
      </c>
      <c r="I401" s="14"/>
      <c r="J401" s="14"/>
      <c r="K401" s="14"/>
      <c r="L401" s="14"/>
      <c r="M401" s="14"/>
    </row>
    <row r="402" spans="1:13" ht="23">
      <c r="A402" s="19" t="s">
        <v>4542</v>
      </c>
      <c r="B402" s="19" t="s">
        <v>2298</v>
      </c>
      <c r="C402" s="19" t="str">
        <f t="shared" si="6"/>
        <v>Harry Toh Toh</v>
      </c>
      <c r="D402" s="19" t="s">
        <v>1489</v>
      </c>
      <c r="E402" s="19" t="s">
        <v>2304</v>
      </c>
      <c r="F402" s="19" t="s">
        <v>1491</v>
      </c>
      <c r="G402" s="19" t="s">
        <v>2305</v>
      </c>
      <c r="H402" s="19">
        <v>90931588</v>
      </c>
      <c r="I402" s="14"/>
      <c r="J402" s="14"/>
      <c r="K402" s="14"/>
      <c r="L402" s="14"/>
      <c r="M402" s="14"/>
    </row>
    <row r="403" spans="1:13" ht="46">
      <c r="A403" s="19" t="s">
        <v>4491</v>
      </c>
      <c r="B403" s="19" t="s">
        <v>1710</v>
      </c>
      <c r="C403" s="19" t="str">
        <f t="shared" si="6"/>
        <v>Jonathan NG</v>
      </c>
      <c r="D403" s="19" t="s">
        <v>1489</v>
      </c>
      <c r="E403" s="19" t="s">
        <v>2306</v>
      </c>
      <c r="F403" s="19" t="s">
        <v>1491</v>
      </c>
      <c r="G403" s="19" t="s">
        <v>2307</v>
      </c>
      <c r="H403" s="19">
        <v>86134949</v>
      </c>
      <c r="I403" s="14"/>
      <c r="J403" s="14"/>
      <c r="K403" s="14"/>
      <c r="L403" s="14"/>
      <c r="M403" s="14"/>
    </row>
    <row r="404" spans="1:13" ht="23">
      <c r="A404" s="19" t="s">
        <v>4543</v>
      </c>
      <c r="B404" s="19" t="s">
        <v>4614</v>
      </c>
      <c r="C404" s="19" t="str">
        <f t="shared" si="6"/>
        <v>Gustin Leslie</v>
      </c>
      <c r="D404" s="19" t="s">
        <v>1489</v>
      </c>
      <c r="E404" s="19" t="s">
        <v>2308</v>
      </c>
      <c r="F404" s="19" t="s">
        <v>1491</v>
      </c>
      <c r="G404" s="19" t="s">
        <v>2309</v>
      </c>
      <c r="H404" s="19">
        <v>62811262806</v>
      </c>
      <c r="I404" s="14"/>
      <c r="J404" s="14"/>
      <c r="K404" s="14"/>
      <c r="L404" s="14"/>
      <c r="M404" s="14"/>
    </row>
    <row r="405" spans="1:13" ht="34.5">
      <c r="A405" s="19" t="s">
        <v>2310</v>
      </c>
      <c r="B405" s="19" t="s">
        <v>902</v>
      </c>
      <c r="C405" s="19" t="str">
        <f t="shared" si="6"/>
        <v>Ivy Ng</v>
      </c>
      <c r="D405" s="19" t="s">
        <v>1489</v>
      </c>
      <c r="E405" s="19" t="s">
        <v>2311</v>
      </c>
      <c r="F405" s="19" t="s">
        <v>1491</v>
      </c>
      <c r="G405" s="19" t="s">
        <v>2312</v>
      </c>
      <c r="H405" s="19">
        <f>6583468399</f>
        <v>6583468399</v>
      </c>
      <c r="I405" s="14"/>
      <c r="J405" s="14"/>
      <c r="K405" s="14"/>
      <c r="L405" s="14"/>
      <c r="M405" s="14"/>
    </row>
    <row r="406" spans="1:13" ht="34.5">
      <c r="A406" s="19" t="s">
        <v>842</v>
      </c>
      <c r="B406" s="19" t="s">
        <v>4394</v>
      </c>
      <c r="C406" s="19" t="str">
        <f t="shared" si="6"/>
        <v xml:space="preserve">NA </v>
      </c>
      <c r="D406" s="19" t="s">
        <v>1489</v>
      </c>
      <c r="E406" s="19" t="s">
        <v>2313</v>
      </c>
      <c r="F406" s="19" t="s">
        <v>1491</v>
      </c>
      <c r="G406" s="19" t="s">
        <v>2314</v>
      </c>
      <c r="H406" s="19">
        <v>96156250</v>
      </c>
      <c r="I406" s="14"/>
      <c r="J406" s="14"/>
      <c r="K406" s="14"/>
      <c r="L406" s="14"/>
      <c r="M406" s="14"/>
    </row>
    <row r="407" spans="1:13" ht="34.5">
      <c r="A407" s="19" t="s">
        <v>4544</v>
      </c>
      <c r="B407" s="19" t="s">
        <v>4394</v>
      </c>
      <c r="C407" s="19" t="str">
        <f t="shared" si="6"/>
        <v xml:space="preserve">Lia </v>
      </c>
      <c r="D407" s="19" t="s">
        <v>1489</v>
      </c>
      <c r="E407" s="19" t="s">
        <v>2315</v>
      </c>
      <c r="F407" s="19" t="s">
        <v>1491</v>
      </c>
      <c r="G407" s="19"/>
      <c r="H407" s="19">
        <v>92423574</v>
      </c>
      <c r="I407" s="14"/>
      <c r="J407" s="14"/>
      <c r="K407" s="14"/>
      <c r="L407" s="14"/>
      <c r="M407" s="14"/>
    </row>
    <row r="408" spans="1:13" ht="34.5">
      <c r="A408" s="19" t="s">
        <v>4545</v>
      </c>
      <c r="B408" s="19" t="s">
        <v>4615</v>
      </c>
      <c r="C408" s="19" t="str">
        <f t="shared" si="6"/>
        <v>Wen Qian</v>
      </c>
      <c r="D408" s="19" t="s">
        <v>1489</v>
      </c>
      <c r="E408" s="19" t="s">
        <v>2316</v>
      </c>
      <c r="F408" s="19" t="s">
        <v>1491</v>
      </c>
      <c r="G408" s="19" t="s">
        <v>2317</v>
      </c>
      <c r="H408" s="19" t="s">
        <v>842</v>
      </c>
      <c r="I408" s="14"/>
      <c r="J408" s="14"/>
      <c r="K408" s="14"/>
      <c r="L408" s="14"/>
      <c r="M408" s="14"/>
    </row>
    <row r="409" spans="1:13" ht="23">
      <c r="A409" s="19" t="s">
        <v>1226</v>
      </c>
      <c r="B409" s="19" t="s">
        <v>630</v>
      </c>
      <c r="C409" s="19" t="str">
        <f t="shared" si="6"/>
        <v>Cheryl Tay</v>
      </c>
      <c r="D409" s="19" t="s">
        <v>1489</v>
      </c>
      <c r="E409" s="19" t="s">
        <v>2318</v>
      </c>
      <c r="F409" s="19" t="s">
        <v>1491</v>
      </c>
      <c r="G409" s="19" t="s">
        <v>2319</v>
      </c>
      <c r="H409" s="19">
        <v>97883001</v>
      </c>
      <c r="I409" s="14"/>
      <c r="J409" s="14"/>
      <c r="K409" s="14"/>
      <c r="L409" s="14"/>
      <c r="M409" s="14"/>
    </row>
    <row r="410" spans="1:13" ht="34.5">
      <c r="A410" s="19" t="s">
        <v>842</v>
      </c>
      <c r="B410" s="19" t="s">
        <v>842</v>
      </c>
      <c r="C410" s="19" t="str">
        <f t="shared" si="6"/>
        <v>NA NA</v>
      </c>
      <c r="D410" s="19" t="s">
        <v>1489</v>
      </c>
      <c r="E410" s="19" t="s">
        <v>2320</v>
      </c>
      <c r="F410" s="19" t="s">
        <v>1491</v>
      </c>
      <c r="G410" s="19" t="s">
        <v>842</v>
      </c>
      <c r="H410" s="19" t="s">
        <v>842</v>
      </c>
      <c r="I410" s="14"/>
      <c r="J410" s="14"/>
      <c r="K410" s="14"/>
      <c r="L410" s="14"/>
      <c r="M410" s="14"/>
    </row>
    <row r="411" spans="1:13" ht="23">
      <c r="A411" s="19" t="s">
        <v>2321</v>
      </c>
      <c r="B411" s="19" t="s">
        <v>2322</v>
      </c>
      <c r="C411" s="19" t="str">
        <f t="shared" si="6"/>
        <v>Alston Chiam</v>
      </c>
      <c r="D411" s="19" t="s">
        <v>1489</v>
      </c>
      <c r="E411" s="19" t="s">
        <v>2323</v>
      </c>
      <c r="F411" s="19" t="s">
        <v>1491</v>
      </c>
      <c r="G411" s="19" t="s">
        <v>2324</v>
      </c>
      <c r="H411" s="19">
        <v>81392543</v>
      </c>
      <c r="I411" s="14"/>
      <c r="J411" s="14"/>
      <c r="K411" s="14"/>
      <c r="L411" s="14"/>
      <c r="M411" s="14"/>
    </row>
    <row r="412" spans="1:13" ht="34.5">
      <c r="A412" s="19" t="s">
        <v>660</v>
      </c>
      <c r="B412" s="19" t="s">
        <v>4616</v>
      </c>
      <c r="C412" s="19" t="str">
        <f t="shared" si="6"/>
        <v>Chris Feng</v>
      </c>
      <c r="D412" s="19" t="s">
        <v>1489</v>
      </c>
      <c r="E412" s="19" t="s">
        <v>2325</v>
      </c>
      <c r="F412" s="19" t="s">
        <v>1491</v>
      </c>
      <c r="G412" s="19" t="s">
        <v>2326</v>
      </c>
      <c r="H412" s="19">
        <v>96529862</v>
      </c>
      <c r="I412" s="14"/>
      <c r="J412" s="14"/>
      <c r="K412" s="14"/>
      <c r="L412" s="14"/>
      <c r="M412" s="14"/>
    </row>
    <row r="413" spans="1:13" ht="34.5">
      <c r="A413" s="19" t="s">
        <v>1161</v>
      </c>
      <c r="B413" s="19" t="s">
        <v>372</v>
      </c>
      <c r="C413" s="19" t="str">
        <f t="shared" si="6"/>
        <v>Eugene Tan</v>
      </c>
      <c r="D413" s="19" t="s">
        <v>1489</v>
      </c>
      <c r="E413" s="19" t="s">
        <v>2327</v>
      </c>
      <c r="F413" s="19" t="s">
        <v>1491</v>
      </c>
      <c r="G413" s="19" t="s">
        <v>2328</v>
      </c>
      <c r="H413" s="19" t="s">
        <v>2329</v>
      </c>
      <c r="I413" s="14"/>
      <c r="J413" s="14"/>
      <c r="K413" s="14"/>
      <c r="L413" s="14"/>
      <c r="M413" s="14"/>
    </row>
    <row r="414" spans="1:13" ht="12.5">
      <c r="A414" s="19" t="s">
        <v>842</v>
      </c>
      <c r="B414" s="19" t="s">
        <v>842</v>
      </c>
      <c r="C414" s="19" t="str">
        <f t="shared" si="6"/>
        <v>NA NA</v>
      </c>
      <c r="D414" s="19" t="s">
        <v>1489</v>
      </c>
      <c r="E414" s="19" t="s">
        <v>2330</v>
      </c>
      <c r="F414" s="19" t="s">
        <v>1491</v>
      </c>
      <c r="G414" s="19"/>
      <c r="H414" s="19" t="s">
        <v>2331</v>
      </c>
      <c r="I414" s="14"/>
      <c r="J414" s="14"/>
      <c r="K414" s="14"/>
      <c r="L414" s="14"/>
      <c r="M414" s="14"/>
    </row>
    <row r="415" spans="1:13" ht="23">
      <c r="A415" s="19" t="s">
        <v>4546</v>
      </c>
      <c r="B415" s="19" t="s">
        <v>842</v>
      </c>
      <c r="C415" s="19" t="str">
        <f t="shared" si="6"/>
        <v>Kerwin NA</v>
      </c>
      <c r="D415" s="19" t="s">
        <v>1489</v>
      </c>
      <c r="E415" s="19" t="s">
        <v>2332</v>
      </c>
      <c r="F415" s="19" t="s">
        <v>1491</v>
      </c>
      <c r="G415" s="19" t="s">
        <v>2333</v>
      </c>
      <c r="H415" s="19">
        <v>97632068</v>
      </c>
      <c r="I415" s="14"/>
      <c r="J415" s="14"/>
      <c r="K415" s="14"/>
      <c r="L415" s="14"/>
      <c r="M415" s="14"/>
    </row>
    <row r="416" spans="1:13" ht="34.5">
      <c r="A416" s="19" t="s">
        <v>1402</v>
      </c>
      <c r="B416" s="19" t="s">
        <v>372</v>
      </c>
      <c r="C416" s="19" t="str">
        <f t="shared" si="6"/>
        <v>Nina Tan</v>
      </c>
      <c r="D416" s="19" t="s">
        <v>1489</v>
      </c>
      <c r="E416" s="19" t="s">
        <v>2334</v>
      </c>
      <c r="F416" s="19" t="s">
        <v>1491</v>
      </c>
      <c r="G416" s="19" t="s">
        <v>2335</v>
      </c>
      <c r="H416" s="19">
        <v>91865321</v>
      </c>
      <c r="I416" s="14"/>
      <c r="J416" s="14"/>
      <c r="K416" s="14"/>
      <c r="L416" s="14"/>
      <c r="M416" s="14"/>
    </row>
    <row r="417" spans="1:13" ht="34.5">
      <c r="A417" s="19" t="s">
        <v>1255</v>
      </c>
      <c r="B417" s="19" t="s">
        <v>1373</v>
      </c>
      <c r="C417" s="19" t="str">
        <f t="shared" si="6"/>
        <v>Esther Kho</v>
      </c>
      <c r="D417" s="19" t="s">
        <v>1489</v>
      </c>
      <c r="E417" s="19" t="s">
        <v>2336</v>
      </c>
      <c r="F417" s="19" t="s">
        <v>1491</v>
      </c>
      <c r="G417" s="19" t="s">
        <v>2337</v>
      </c>
      <c r="H417" s="19">
        <v>94319192</v>
      </c>
      <c r="I417" s="14"/>
      <c r="J417" s="14"/>
      <c r="K417" s="14"/>
      <c r="L417" s="14"/>
      <c r="M417" s="14"/>
    </row>
    <row r="418" spans="1:13" ht="34.5">
      <c r="A418" s="19" t="s">
        <v>842</v>
      </c>
      <c r="B418" s="19" t="s">
        <v>842</v>
      </c>
      <c r="C418" s="19" t="str">
        <f t="shared" si="6"/>
        <v>NA NA</v>
      </c>
      <c r="D418" s="19" t="s">
        <v>1489</v>
      </c>
      <c r="E418" s="19" t="s">
        <v>2338</v>
      </c>
      <c r="F418" s="19" t="s">
        <v>1491</v>
      </c>
      <c r="G418" s="19" t="s">
        <v>842</v>
      </c>
      <c r="H418" s="19">
        <v>90082971</v>
      </c>
      <c r="I418" s="14"/>
      <c r="J418" s="14"/>
      <c r="K418" s="14"/>
      <c r="L418" s="14"/>
      <c r="M418" s="14"/>
    </row>
    <row r="419" spans="1:13" ht="34.5">
      <c r="A419" s="19" t="s">
        <v>842</v>
      </c>
      <c r="B419" s="19" t="s">
        <v>842</v>
      </c>
      <c r="C419" s="19" t="str">
        <f t="shared" si="6"/>
        <v>NA NA</v>
      </c>
      <c r="D419" s="19" t="s">
        <v>1489</v>
      </c>
      <c r="E419" s="19" t="s">
        <v>2339</v>
      </c>
      <c r="F419" s="19" t="s">
        <v>1491</v>
      </c>
      <c r="G419" s="19" t="s">
        <v>842</v>
      </c>
      <c r="H419" s="19">
        <v>96827870</v>
      </c>
      <c r="I419" s="14"/>
      <c r="J419" s="14"/>
      <c r="K419" s="14"/>
      <c r="L419" s="14"/>
      <c r="M419" s="14"/>
    </row>
    <row r="420" spans="1:13" ht="23">
      <c r="A420" s="19" t="s">
        <v>4547</v>
      </c>
      <c r="B420" s="19" t="s">
        <v>4617</v>
      </c>
      <c r="C420" s="19" t="str">
        <f t="shared" si="6"/>
        <v>Jawahar ALi</v>
      </c>
      <c r="D420" s="19" t="s">
        <v>1489</v>
      </c>
      <c r="E420" s="19" t="s">
        <v>2340</v>
      </c>
      <c r="F420" s="19" t="s">
        <v>1491</v>
      </c>
      <c r="G420" s="19" t="s">
        <v>2341</v>
      </c>
      <c r="H420" s="19">
        <v>96726424</v>
      </c>
      <c r="I420" s="14"/>
      <c r="J420" s="14"/>
      <c r="K420" s="14"/>
      <c r="L420" s="14"/>
      <c r="M420" s="14"/>
    </row>
    <row r="421" spans="1:13" ht="34.5">
      <c r="A421" s="19" t="s">
        <v>2852</v>
      </c>
      <c r="B421" s="19" t="s">
        <v>4394</v>
      </c>
      <c r="C421" s="19" t="str">
        <f t="shared" si="6"/>
        <v xml:space="preserve">Joel </v>
      </c>
      <c r="D421" s="19" t="s">
        <v>1489</v>
      </c>
      <c r="E421" s="19" t="s">
        <v>2342</v>
      </c>
      <c r="F421" s="19" t="s">
        <v>1491</v>
      </c>
      <c r="G421" s="19"/>
      <c r="H421" s="19"/>
      <c r="I421" s="14"/>
      <c r="J421" s="14"/>
      <c r="K421" s="14"/>
      <c r="L421" s="14"/>
      <c r="M421" s="14"/>
    </row>
    <row r="422" spans="1:13" ht="34.5">
      <c r="A422" s="19" t="s">
        <v>4548</v>
      </c>
      <c r="B422" s="19" t="s">
        <v>4618</v>
      </c>
      <c r="C422" s="19" t="str">
        <f t="shared" si="6"/>
        <v>Apple Delos</v>
      </c>
      <c r="D422" s="19" t="s">
        <v>1489</v>
      </c>
      <c r="E422" s="19" t="s">
        <v>2343</v>
      </c>
      <c r="F422" s="19" t="s">
        <v>1491</v>
      </c>
      <c r="G422" s="19" t="s">
        <v>2344</v>
      </c>
      <c r="H422" s="19">
        <v>67253232</v>
      </c>
      <c r="I422" s="14"/>
      <c r="J422" s="14"/>
      <c r="K422" s="14"/>
      <c r="L422" s="14"/>
      <c r="M422" s="14"/>
    </row>
    <row r="423" spans="1:13" ht="23">
      <c r="A423" s="19" t="s">
        <v>4394</v>
      </c>
      <c r="B423" s="19" t="s">
        <v>4394</v>
      </c>
      <c r="C423" s="19" t="str">
        <f t="shared" si="6"/>
        <v xml:space="preserve"> </v>
      </c>
      <c r="D423" s="19" t="s">
        <v>1489</v>
      </c>
      <c r="E423" s="19" t="s">
        <v>2345</v>
      </c>
      <c r="F423" s="19" t="s">
        <v>1491</v>
      </c>
      <c r="G423" s="19"/>
      <c r="H423" s="19">
        <v>90080180</v>
      </c>
      <c r="I423" s="14"/>
      <c r="J423" s="14"/>
      <c r="K423" s="14"/>
      <c r="L423" s="14"/>
      <c r="M423" s="14"/>
    </row>
    <row r="424" spans="1:13" ht="34.5">
      <c r="A424" s="19" t="s">
        <v>4549</v>
      </c>
      <c r="B424" s="19" t="s">
        <v>473</v>
      </c>
      <c r="C424" s="19" t="str">
        <f t="shared" si="6"/>
        <v>Shane Chua</v>
      </c>
      <c r="D424" s="19" t="s">
        <v>1489</v>
      </c>
      <c r="E424" s="19" t="s">
        <v>2346</v>
      </c>
      <c r="F424" s="19" t="s">
        <v>1491</v>
      </c>
      <c r="G424" s="19" t="s">
        <v>2347</v>
      </c>
      <c r="H424" s="19">
        <v>87288886</v>
      </c>
      <c r="I424" s="14"/>
      <c r="J424" s="14"/>
      <c r="K424" s="14"/>
      <c r="L424" s="14"/>
      <c r="M424" s="14"/>
    </row>
    <row r="425" spans="1:13" ht="23">
      <c r="A425" s="19" t="s">
        <v>4550</v>
      </c>
      <c r="B425" s="19" t="s">
        <v>4394</v>
      </c>
      <c r="C425" s="19" t="str">
        <f t="shared" si="6"/>
        <v xml:space="preserve">Surin </v>
      </c>
      <c r="D425" s="19" t="s">
        <v>1489</v>
      </c>
      <c r="E425" s="19" t="s">
        <v>2348</v>
      </c>
      <c r="F425" s="19" t="s">
        <v>1491</v>
      </c>
      <c r="G425" s="19" t="s">
        <v>2349</v>
      </c>
      <c r="H425" s="19"/>
      <c r="I425" s="14"/>
      <c r="J425" s="14"/>
      <c r="K425" s="14"/>
      <c r="L425" s="14"/>
      <c r="M425" s="14"/>
    </row>
    <row r="426" spans="1:13" ht="23">
      <c r="A426" s="19" t="s">
        <v>652</v>
      </c>
      <c r="B426" s="19" t="s">
        <v>2350</v>
      </c>
      <c r="C426" s="19" t="str">
        <f t="shared" si="6"/>
        <v>Andrew tham</v>
      </c>
      <c r="D426" s="19" t="s">
        <v>1489</v>
      </c>
      <c r="E426" s="19" t="s">
        <v>2351</v>
      </c>
      <c r="F426" s="19" t="s">
        <v>1491</v>
      </c>
      <c r="G426" s="19" t="s">
        <v>2352</v>
      </c>
      <c r="H426" s="19" t="s">
        <v>2353</v>
      </c>
      <c r="I426" s="14"/>
      <c r="J426" s="14"/>
      <c r="K426" s="14"/>
      <c r="L426" s="14"/>
      <c r="M426" s="14"/>
    </row>
    <row r="427" spans="1:13" ht="57.5">
      <c r="A427" s="19" t="s">
        <v>4551</v>
      </c>
      <c r="B427" s="19" t="s">
        <v>842</v>
      </c>
      <c r="C427" s="19" t="str">
        <f t="shared" si="6"/>
        <v>Water NA</v>
      </c>
      <c r="D427" s="19" t="s">
        <v>1489</v>
      </c>
      <c r="E427" s="19" t="s">
        <v>2354</v>
      </c>
      <c r="F427" s="19" t="s">
        <v>1491</v>
      </c>
      <c r="G427" s="19" t="s">
        <v>2355</v>
      </c>
      <c r="H427" s="19" t="s">
        <v>2356</v>
      </c>
      <c r="I427" s="14"/>
      <c r="J427" s="14"/>
      <c r="K427" s="14"/>
      <c r="L427" s="14"/>
      <c r="M427" s="14"/>
    </row>
    <row r="428" spans="1:13" ht="34.5">
      <c r="A428" s="19" t="s">
        <v>842</v>
      </c>
      <c r="B428" s="19" t="s">
        <v>4394</v>
      </c>
      <c r="C428" s="19" t="str">
        <f t="shared" si="6"/>
        <v xml:space="preserve">NA </v>
      </c>
      <c r="D428" s="19" t="s">
        <v>1489</v>
      </c>
      <c r="E428" s="19" t="s">
        <v>2336</v>
      </c>
      <c r="F428" s="19" t="s">
        <v>4</v>
      </c>
      <c r="G428" s="19" t="s">
        <v>842</v>
      </c>
      <c r="H428" s="19">
        <v>94319192</v>
      </c>
      <c r="I428" s="14"/>
      <c r="J428" s="14"/>
      <c r="K428" s="14"/>
      <c r="L428" s="14"/>
      <c r="M428" s="14"/>
    </row>
    <row r="429" spans="1:13" ht="23">
      <c r="A429" s="19" t="s">
        <v>764</v>
      </c>
      <c r="B429" s="19" t="s">
        <v>4619</v>
      </c>
      <c r="C429" s="19" t="str">
        <f t="shared" si="6"/>
        <v>Kim Gates</v>
      </c>
      <c r="D429" s="19" t="s">
        <v>1489</v>
      </c>
      <c r="E429" s="19" t="s">
        <v>2357</v>
      </c>
      <c r="F429" s="19" t="s">
        <v>1491</v>
      </c>
      <c r="G429" s="19" t="s">
        <v>2358</v>
      </c>
      <c r="H429" s="19">
        <v>6596329436</v>
      </c>
      <c r="I429" s="14"/>
      <c r="J429" s="14"/>
      <c r="K429" s="14"/>
      <c r="L429" s="14"/>
      <c r="M429" s="14"/>
    </row>
    <row r="430" spans="1:13" ht="23">
      <c r="A430" s="19" t="s">
        <v>2279</v>
      </c>
      <c r="B430" s="19" t="s">
        <v>842</v>
      </c>
      <c r="C430" s="19" t="str">
        <f t="shared" si="6"/>
        <v>Cassandra NA</v>
      </c>
      <c r="D430" s="19" t="s">
        <v>1489</v>
      </c>
      <c r="E430" s="19" t="s">
        <v>2359</v>
      </c>
      <c r="F430" s="19" t="s">
        <v>1491</v>
      </c>
      <c r="G430" s="19" t="s">
        <v>2360</v>
      </c>
      <c r="H430" s="19">
        <v>90777599</v>
      </c>
      <c r="I430" s="14"/>
      <c r="J430" s="14"/>
      <c r="K430" s="14"/>
      <c r="L430" s="14"/>
      <c r="M430" s="14"/>
    </row>
    <row r="431" spans="1:13" ht="34.5">
      <c r="A431" s="19" t="s">
        <v>4439</v>
      </c>
      <c r="B431" s="19" t="s">
        <v>2229</v>
      </c>
      <c r="C431" s="19" t="str">
        <f t="shared" si="6"/>
        <v>Benny Foo</v>
      </c>
      <c r="D431" s="19" t="s">
        <v>1489</v>
      </c>
      <c r="E431" s="19" t="s">
        <v>2361</v>
      </c>
      <c r="F431" s="19" t="s">
        <v>1491</v>
      </c>
      <c r="G431" s="19" t="s">
        <v>2362</v>
      </c>
      <c r="H431" s="19">
        <v>86867787</v>
      </c>
      <c r="I431" s="14"/>
      <c r="J431" s="14"/>
      <c r="K431" s="14"/>
      <c r="L431" s="14"/>
      <c r="M431" s="14"/>
    </row>
    <row r="432" spans="1:13" ht="34.5">
      <c r="A432" s="19" t="s">
        <v>4552</v>
      </c>
      <c r="B432" s="19" t="s">
        <v>4394</v>
      </c>
      <c r="C432" s="19" t="str">
        <f t="shared" si="6"/>
        <v xml:space="preserve">Jeat yun </v>
      </c>
      <c r="D432" s="19" t="s">
        <v>1489</v>
      </c>
      <c r="E432" s="19" t="s">
        <v>2363</v>
      </c>
      <c r="F432" s="19" t="s">
        <v>1491</v>
      </c>
      <c r="G432" s="19" t="s">
        <v>2364</v>
      </c>
      <c r="H432" s="19">
        <v>6590914589</v>
      </c>
      <c r="I432" s="14"/>
      <c r="J432" s="14"/>
      <c r="K432" s="14"/>
      <c r="L432" s="14"/>
      <c r="M432" s="14"/>
    </row>
    <row r="433" spans="1:13" ht="34.5">
      <c r="A433" s="19" t="s">
        <v>4553</v>
      </c>
      <c r="B433" s="19" t="s">
        <v>4620</v>
      </c>
      <c r="C433" s="19" t="str">
        <f t="shared" si="6"/>
        <v>Kumara Viknesh</v>
      </c>
      <c r="D433" s="19" t="s">
        <v>1489</v>
      </c>
      <c r="E433" s="19" t="s">
        <v>2365</v>
      </c>
      <c r="F433" s="19" t="s">
        <v>1491</v>
      </c>
      <c r="G433" s="19" t="s">
        <v>2366</v>
      </c>
      <c r="H433" s="19">
        <v>91871478</v>
      </c>
      <c r="I433" s="14"/>
      <c r="J433" s="14"/>
      <c r="K433" s="14"/>
      <c r="L433" s="14"/>
      <c r="M433" s="14"/>
    </row>
    <row r="434" spans="1:13" ht="34.5">
      <c r="A434" s="19" t="s">
        <v>701</v>
      </c>
      <c r="B434" s="19" t="s">
        <v>4394</v>
      </c>
      <c r="C434" s="19" t="str">
        <f t="shared" si="6"/>
        <v xml:space="preserve">Terence </v>
      </c>
      <c r="D434" s="19" t="s">
        <v>1489</v>
      </c>
      <c r="E434" s="19" t="s">
        <v>2367</v>
      </c>
      <c r="F434" s="19" t="s">
        <v>1491</v>
      </c>
      <c r="G434" s="19" t="s">
        <v>2368</v>
      </c>
      <c r="H434" s="19">
        <v>81289149</v>
      </c>
      <c r="I434" s="14"/>
      <c r="J434" s="14"/>
      <c r="K434" s="14"/>
      <c r="L434" s="14"/>
      <c r="M434" s="14"/>
    </row>
    <row r="435" spans="1:13" ht="34.5">
      <c r="A435" s="19" t="s">
        <v>842</v>
      </c>
      <c r="B435" s="19" t="s">
        <v>842</v>
      </c>
      <c r="C435" s="19" t="str">
        <f t="shared" si="6"/>
        <v>NA NA</v>
      </c>
      <c r="D435" s="19" t="s">
        <v>1489</v>
      </c>
      <c r="E435" s="19" t="s">
        <v>2369</v>
      </c>
      <c r="F435" s="19" t="s">
        <v>1491</v>
      </c>
      <c r="G435" s="19" t="s">
        <v>2370</v>
      </c>
      <c r="H435" s="19" t="s">
        <v>842</v>
      </c>
      <c r="I435" s="14"/>
      <c r="J435" s="14"/>
      <c r="K435" s="14"/>
      <c r="L435" s="14"/>
      <c r="M435" s="14"/>
    </row>
    <row r="436" spans="1:13" ht="23">
      <c r="A436" s="19" t="s">
        <v>1586</v>
      </c>
      <c r="B436" s="19" t="s">
        <v>702</v>
      </c>
      <c r="C436" s="19" t="str">
        <f t="shared" si="6"/>
        <v>Xavier Lim</v>
      </c>
      <c r="D436" s="19" t="s">
        <v>1489</v>
      </c>
      <c r="E436" s="19" t="s">
        <v>2371</v>
      </c>
      <c r="F436" s="19" t="s">
        <v>1491</v>
      </c>
      <c r="G436" s="19" t="s">
        <v>842</v>
      </c>
      <c r="H436" s="19" t="s">
        <v>2372</v>
      </c>
      <c r="I436" s="14"/>
      <c r="J436" s="14"/>
      <c r="K436" s="14"/>
      <c r="L436" s="14"/>
      <c r="M436" s="14"/>
    </row>
    <row r="437" spans="1:13" ht="34.5">
      <c r="A437" s="19" t="s">
        <v>629</v>
      </c>
      <c r="B437" s="19" t="s">
        <v>1710</v>
      </c>
      <c r="C437" s="19" t="str">
        <f t="shared" si="6"/>
        <v>Patrick NG</v>
      </c>
      <c r="D437" s="19" t="s">
        <v>1489</v>
      </c>
      <c r="E437" s="19" t="s">
        <v>2373</v>
      </c>
      <c r="F437" s="19" t="s">
        <v>1491</v>
      </c>
      <c r="G437" s="19" t="s">
        <v>2374</v>
      </c>
      <c r="H437" s="19">
        <v>98734301</v>
      </c>
      <c r="I437" s="14"/>
      <c r="J437" s="14"/>
      <c r="K437" s="14"/>
      <c r="L437" s="14"/>
      <c r="M437" s="14"/>
    </row>
    <row r="438" spans="1:13" ht="12.5">
      <c r="A438" s="19" t="s">
        <v>842</v>
      </c>
      <c r="B438" s="19" t="s">
        <v>842</v>
      </c>
      <c r="C438" s="19" t="str">
        <f t="shared" si="6"/>
        <v>NA NA</v>
      </c>
      <c r="D438" s="19" t="s">
        <v>1489</v>
      </c>
      <c r="E438" s="19" t="s">
        <v>2375</v>
      </c>
      <c r="F438" s="19" t="s">
        <v>1491</v>
      </c>
      <c r="G438" s="19" t="s">
        <v>1493</v>
      </c>
      <c r="H438" s="19" t="s">
        <v>2376</v>
      </c>
      <c r="I438" s="14"/>
      <c r="J438" s="14"/>
      <c r="K438" s="14"/>
      <c r="L438" s="14"/>
      <c r="M438" s="14"/>
    </row>
    <row r="439" spans="1:13" ht="23">
      <c r="A439" s="19" t="s">
        <v>4554</v>
      </c>
      <c r="B439" s="19" t="s">
        <v>4621</v>
      </c>
      <c r="C439" s="19" t="str">
        <f t="shared" si="6"/>
        <v>Wenny Oey</v>
      </c>
      <c r="D439" s="19" t="s">
        <v>1489</v>
      </c>
      <c r="E439" s="19" t="s">
        <v>2377</v>
      </c>
      <c r="F439" s="19" t="s">
        <v>1491</v>
      </c>
      <c r="G439" s="19" t="s">
        <v>2378</v>
      </c>
      <c r="H439" s="19">
        <v>87387225</v>
      </c>
      <c r="I439" s="14"/>
      <c r="J439" s="14"/>
      <c r="K439" s="14"/>
      <c r="L439" s="14"/>
      <c r="M439" s="14"/>
    </row>
    <row r="440" spans="1:13" ht="23">
      <c r="A440" s="19" t="s">
        <v>4555</v>
      </c>
      <c r="B440" s="19" t="s">
        <v>4622</v>
      </c>
      <c r="C440" s="19" t="str">
        <f t="shared" si="6"/>
        <v>Mohamed Mubarak</v>
      </c>
      <c r="D440" s="19" t="s">
        <v>1489</v>
      </c>
      <c r="E440" s="19" t="s">
        <v>2379</v>
      </c>
      <c r="F440" s="19" t="s">
        <v>1491</v>
      </c>
      <c r="G440" s="19" t="s">
        <v>2380</v>
      </c>
      <c r="H440" s="19">
        <v>165454275</v>
      </c>
      <c r="I440" s="14"/>
      <c r="J440" s="14"/>
      <c r="K440" s="14"/>
      <c r="L440" s="14"/>
      <c r="M440" s="14"/>
    </row>
    <row r="441" spans="1:13" ht="34.5">
      <c r="A441" s="19" t="s">
        <v>2381</v>
      </c>
      <c r="B441" s="19" t="s">
        <v>2382</v>
      </c>
      <c r="C441" s="19" t="str">
        <f t="shared" si="6"/>
        <v xml:space="preserve">Douglas Williams
</v>
      </c>
      <c r="D441" s="19" t="s">
        <v>1489</v>
      </c>
      <c r="E441" s="19" t="s">
        <v>2383</v>
      </c>
      <c r="F441" s="19" t="s">
        <v>1491</v>
      </c>
      <c r="G441" s="19" t="s">
        <v>2384</v>
      </c>
      <c r="H441" s="19" t="s">
        <v>2385</v>
      </c>
      <c r="I441" s="14"/>
      <c r="J441" s="14"/>
      <c r="K441" s="14"/>
      <c r="L441" s="14"/>
      <c r="M441" s="14"/>
    </row>
    <row r="442" spans="1:13" ht="23">
      <c r="A442" s="19" t="s">
        <v>4556</v>
      </c>
      <c r="B442" s="19" t="s">
        <v>4623</v>
      </c>
      <c r="C442" s="19" t="str">
        <f t="shared" si="6"/>
        <v>Ismail Dididh</v>
      </c>
      <c r="D442" s="19" t="s">
        <v>1489</v>
      </c>
      <c r="E442" s="19" t="s">
        <v>2386</v>
      </c>
      <c r="F442" s="19" t="s">
        <v>4</v>
      </c>
      <c r="G442" s="19" t="s">
        <v>2387</v>
      </c>
      <c r="H442" s="19">
        <v>90660981</v>
      </c>
      <c r="I442" s="14"/>
      <c r="J442" s="14"/>
      <c r="K442" s="14"/>
      <c r="L442" s="14"/>
      <c r="M442" s="14"/>
    </row>
    <row r="443" spans="1:13" ht="23">
      <c r="A443" s="19" t="s">
        <v>1255</v>
      </c>
      <c r="B443" s="19" t="s">
        <v>702</v>
      </c>
      <c r="C443" s="19" t="str">
        <f t="shared" si="6"/>
        <v>Esther Lim</v>
      </c>
      <c r="D443" s="19" t="s">
        <v>1489</v>
      </c>
      <c r="E443" s="19" t="s">
        <v>2388</v>
      </c>
      <c r="F443" s="19" t="s">
        <v>1491</v>
      </c>
      <c r="G443" s="19" t="s">
        <v>2389</v>
      </c>
      <c r="H443" s="19">
        <v>6597677139</v>
      </c>
      <c r="I443" s="14"/>
      <c r="J443" s="14"/>
      <c r="K443" s="14"/>
      <c r="L443" s="14"/>
      <c r="M443" s="14"/>
    </row>
    <row r="444" spans="1:13" ht="23">
      <c r="A444" s="19" t="s">
        <v>4557</v>
      </c>
      <c r="B444" s="19" t="s">
        <v>4624</v>
      </c>
      <c r="C444" s="19" t="str">
        <f t="shared" si="6"/>
        <v>Ming Fu</v>
      </c>
      <c r="D444" s="19" t="s">
        <v>1489</v>
      </c>
      <c r="E444" s="19" t="s">
        <v>2390</v>
      </c>
      <c r="F444" s="19" t="s">
        <v>1491</v>
      </c>
      <c r="G444" s="19" t="s">
        <v>2391</v>
      </c>
      <c r="H444" s="19">
        <v>97959032</v>
      </c>
      <c r="I444" s="14"/>
      <c r="J444" s="14"/>
      <c r="K444" s="14"/>
      <c r="L444" s="14"/>
      <c r="M444" s="14"/>
    </row>
    <row r="445" spans="1:13" ht="34.5">
      <c r="A445" s="19" t="s">
        <v>2392</v>
      </c>
      <c r="B445" s="19" t="s">
        <v>2393</v>
      </c>
      <c r="C445" s="19" t="str">
        <f t="shared" si="6"/>
        <v>Shreyas Ladde</v>
      </c>
      <c r="D445" s="19" t="s">
        <v>1489</v>
      </c>
      <c r="E445" s="19" t="s">
        <v>2394</v>
      </c>
      <c r="F445" s="19" t="s">
        <v>1491</v>
      </c>
      <c r="G445" s="19" t="s">
        <v>2395</v>
      </c>
      <c r="H445" s="19">
        <v>92345984</v>
      </c>
      <c r="I445" s="14"/>
      <c r="J445" s="14"/>
      <c r="K445" s="14"/>
      <c r="L445" s="14"/>
      <c r="M445" s="14"/>
    </row>
    <row r="446" spans="1:13" ht="34.5">
      <c r="A446" s="19" t="s">
        <v>630</v>
      </c>
      <c r="B446" s="19" t="s">
        <v>4406</v>
      </c>
      <c r="C446" s="19" t="str">
        <f t="shared" si="6"/>
        <v>Tay Kelvin</v>
      </c>
      <c r="D446" s="19" t="s">
        <v>1489</v>
      </c>
      <c r="E446" s="19" t="s">
        <v>2396</v>
      </c>
      <c r="F446" s="19" t="s">
        <v>1491</v>
      </c>
      <c r="G446" s="19" t="s">
        <v>2397</v>
      </c>
      <c r="H446" s="19">
        <v>88168861</v>
      </c>
      <c r="I446" s="14"/>
      <c r="J446" s="14"/>
      <c r="K446" s="14"/>
      <c r="L446" s="14"/>
      <c r="M446" s="14"/>
    </row>
    <row r="447" spans="1:13" ht="34.5">
      <c r="A447" s="19" t="s">
        <v>4558</v>
      </c>
      <c r="B447" s="19" t="s">
        <v>4394</v>
      </c>
      <c r="C447" s="19" t="str">
        <f t="shared" si="6"/>
        <v xml:space="preserve">Lauren </v>
      </c>
      <c r="D447" s="19" t="s">
        <v>1489</v>
      </c>
      <c r="E447" s="19" t="s">
        <v>2398</v>
      </c>
      <c r="F447" s="19" t="s">
        <v>1491</v>
      </c>
      <c r="G447" s="19" t="s">
        <v>2399</v>
      </c>
      <c r="H447" s="19">
        <v>97992838</v>
      </c>
      <c r="I447" s="14"/>
      <c r="J447" s="14"/>
      <c r="K447" s="14"/>
      <c r="L447" s="14"/>
      <c r="M447" s="14"/>
    </row>
    <row r="448" spans="1:13" ht="34.5">
      <c r="A448" s="19" t="s">
        <v>4559</v>
      </c>
      <c r="B448" s="19" t="s">
        <v>907</v>
      </c>
      <c r="C448" s="19" t="str">
        <f t="shared" si="6"/>
        <v>Kenley Goh</v>
      </c>
      <c r="D448" s="19" t="s">
        <v>1489</v>
      </c>
      <c r="E448" s="19" t="s">
        <v>2400</v>
      </c>
      <c r="F448" s="19" t="s">
        <v>1491</v>
      </c>
      <c r="G448" s="19" t="s">
        <v>2401</v>
      </c>
      <c r="H448" s="19">
        <v>91119050</v>
      </c>
      <c r="I448" s="14"/>
      <c r="J448" s="14"/>
      <c r="K448" s="14"/>
      <c r="L448" s="14"/>
      <c r="M448" s="14"/>
    </row>
    <row r="449" spans="1:13" ht="34.5">
      <c r="A449" s="19" t="s">
        <v>2402</v>
      </c>
      <c r="B449" s="19" t="s">
        <v>4394</v>
      </c>
      <c r="C449" s="19" t="str">
        <f t="shared" si="6"/>
        <v xml:space="preserve">Wei loonv
 </v>
      </c>
      <c r="D449" s="19" t="s">
        <v>1489</v>
      </c>
      <c r="E449" s="19" t="s">
        <v>2403</v>
      </c>
      <c r="F449" s="19" t="s">
        <v>1491</v>
      </c>
      <c r="G449" s="19" t="s">
        <v>2404</v>
      </c>
      <c r="H449" s="19">
        <v>87429741</v>
      </c>
      <c r="I449" s="14"/>
      <c r="J449" s="14"/>
      <c r="K449" s="14"/>
      <c r="L449" s="14"/>
      <c r="M449" s="14"/>
    </row>
    <row r="450" spans="1:13" ht="34.5">
      <c r="A450" s="19" t="s">
        <v>4560</v>
      </c>
      <c r="B450" s="19" t="s">
        <v>3521</v>
      </c>
      <c r="C450" s="19" t="str">
        <f t="shared" si="6"/>
        <v>Lee Wan Jin Jin</v>
      </c>
      <c r="D450" s="19" t="s">
        <v>1489</v>
      </c>
      <c r="E450" s="19" t="s">
        <v>2405</v>
      </c>
      <c r="F450" s="19" t="s">
        <v>1491</v>
      </c>
      <c r="G450" s="19" t="s">
        <v>2406</v>
      </c>
      <c r="H450" s="19" t="s">
        <v>2407</v>
      </c>
      <c r="I450" s="14"/>
      <c r="J450" s="14"/>
      <c r="K450" s="14"/>
      <c r="L450" s="14"/>
      <c r="M450" s="14"/>
    </row>
    <row r="451" spans="1:13" ht="34.5">
      <c r="A451" s="19" t="s">
        <v>1007</v>
      </c>
      <c r="B451" s="19" t="s">
        <v>842</v>
      </c>
      <c r="C451" s="19" t="str">
        <f t="shared" ref="C451:C468" si="7">_xlfn.CONCAT(A451," ",B451)</f>
        <v>Kevin NA</v>
      </c>
      <c r="D451" s="19" t="s">
        <v>1489</v>
      </c>
      <c r="E451" s="19" t="s">
        <v>2408</v>
      </c>
      <c r="F451" s="19" t="s">
        <v>1491</v>
      </c>
      <c r="G451" s="19" t="s">
        <v>842</v>
      </c>
      <c r="H451" s="19">
        <v>97249825</v>
      </c>
      <c r="I451" s="14"/>
      <c r="J451" s="14"/>
      <c r="K451" s="14"/>
      <c r="L451" s="14"/>
      <c r="M451" s="14"/>
    </row>
    <row r="452" spans="1:13" ht="34.5">
      <c r="A452" s="19" t="s">
        <v>652</v>
      </c>
      <c r="B452" s="19" t="s">
        <v>744</v>
      </c>
      <c r="C452" s="19" t="str">
        <f t="shared" si="7"/>
        <v>Andrew Chan</v>
      </c>
      <c r="D452" s="19" t="s">
        <v>1489</v>
      </c>
      <c r="E452" s="19" t="s">
        <v>2409</v>
      </c>
      <c r="F452" s="19" t="s">
        <v>1491</v>
      </c>
      <c r="G452" s="19" t="s">
        <v>2410</v>
      </c>
      <c r="H452" s="19">
        <v>6568398322</v>
      </c>
      <c r="I452" s="14"/>
      <c r="J452" s="14"/>
      <c r="K452" s="14"/>
      <c r="L452" s="14"/>
      <c r="M452" s="14"/>
    </row>
    <row r="453" spans="1:13" ht="23">
      <c r="A453" s="19" t="s">
        <v>4561</v>
      </c>
      <c r="B453" s="19" t="s">
        <v>428</v>
      </c>
      <c r="C453" s="19" t="str">
        <f t="shared" si="7"/>
        <v>Jay Ong</v>
      </c>
      <c r="D453" s="19" t="s">
        <v>1489</v>
      </c>
      <c r="E453" s="19" t="s">
        <v>2411</v>
      </c>
      <c r="F453" s="19" t="s">
        <v>1491</v>
      </c>
      <c r="G453" s="19" t="s">
        <v>2412</v>
      </c>
      <c r="H453" s="19">
        <v>96804233</v>
      </c>
      <c r="I453" s="14"/>
      <c r="J453" s="14"/>
      <c r="K453" s="14"/>
      <c r="L453" s="14"/>
      <c r="M453" s="14"/>
    </row>
    <row r="454" spans="1:13" ht="34.5">
      <c r="A454" s="19" t="s">
        <v>508</v>
      </c>
      <c r="B454" s="19" t="s">
        <v>2071</v>
      </c>
      <c r="C454" s="19" t="str">
        <f t="shared" si="7"/>
        <v>Sam Chia</v>
      </c>
      <c r="D454" s="19" t="s">
        <v>1489</v>
      </c>
      <c r="E454" s="19" t="s">
        <v>2413</v>
      </c>
      <c r="F454" s="19" t="s">
        <v>1491</v>
      </c>
      <c r="G454" s="19" t="s">
        <v>2414</v>
      </c>
      <c r="H454" s="19" t="s">
        <v>2415</v>
      </c>
      <c r="I454" s="14"/>
      <c r="J454" s="14"/>
      <c r="K454" s="14"/>
      <c r="L454" s="14"/>
      <c r="M454" s="14"/>
    </row>
    <row r="455" spans="1:13" ht="34.5">
      <c r="A455" s="19" t="s">
        <v>702</v>
      </c>
      <c r="B455" s="19" t="s">
        <v>4394</v>
      </c>
      <c r="C455" s="19" t="str">
        <f t="shared" si="7"/>
        <v xml:space="preserve">Lim </v>
      </c>
      <c r="D455" s="19" t="s">
        <v>1489</v>
      </c>
      <c r="E455" s="19" t="s">
        <v>2408</v>
      </c>
      <c r="F455" s="19" t="s">
        <v>1491</v>
      </c>
      <c r="G455" s="19"/>
      <c r="H455" s="19" t="s">
        <v>2416</v>
      </c>
      <c r="I455" s="14"/>
      <c r="J455" s="14"/>
      <c r="K455" s="14"/>
      <c r="L455" s="14"/>
      <c r="M455" s="14"/>
    </row>
    <row r="456" spans="1:13" ht="23">
      <c r="A456" s="19" t="s">
        <v>1083</v>
      </c>
      <c r="B456" s="19" t="s">
        <v>4501</v>
      </c>
      <c r="C456" s="19" t="str">
        <f t="shared" si="7"/>
        <v>Hui Shan</v>
      </c>
      <c r="D456" s="19" t="s">
        <v>1489</v>
      </c>
      <c r="E456" s="19" t="s">
        <v>2417</v>
      </c>
      <c r="F456" s="19" t="s">
        <v>1491</v>
      </c>
      <c r="G456" s="19"/>
      <c r="H456" s="19" t="s">
        <v>2418</v>
      </c>
      <c r="I456" s="14"/>
      <c r="J456" s="14"/>
      <c r="K456" s="14"/>
      <c r="L456" s="14"/>
      <c r="M456" s="14"/>
    </row>
    <row r="457" spans="1:13" ht="23">
      <c r="A457" s="19" t="s">
        <v>4562</v>
      </c>
      <c r="B457" s="19" t="s">
        <v>2473</v>
      </c>
      <c r="C457" s="19" t="str">
        <f t="shared" si="7"/>
        <v>Alvin Ang</v>
      </c>
      <c r="D457" s="19" t="s">
        <v>1489</v>
      </c>
      <c r="E457" s="19" t="s">
        <v>2419</v>
      </c>
      <c r="F457" s="19" t="s">
        <v>1491</v>
      </c>
      <c r="G457" s="19" t="s">
        <v>2420</v>
      </c>
      <c r="H457" s="19">
        <v>91766758</v>
      </c>
      <c r="I457" s="14"/>
      <c r="J457" s="14"/>
      <c r="K457" s="14"/>
      <c r="L457" s="14"/>
      <c r="M457" s="14"/>
    </row>
    <row r="458" spans="1:13" ht="34.5">
      <c r="A458" s="19" t="s">
        <v>4563</v>
      </c>
      <c r="B458" s="19" t="s">
        <v>4625</v>
      </c>
      <c r="C458" s="19" t="str">
        <f t="shared" si="7"/>
        <v>Lorraine Garrido</v>
      </c>
      <c r="D458" s="19" t="s">
        <v>1489</v>
      </c>
      <c r="E458" s="19" t="s">
        <v>2421</v>
      </c>
      <c r="F458" s="19" t="s">
        <v>1491</v>
      </c>
      <c r="G458" s="19" t="s">
        <v>2422</v>
      </c>
      <c r="H458" s="19">
        <v>93214373</v>
      </c>
      <c r="I458" s="14"/>
      <c r="J458" s="14"/>
      <c r="K458" s="14"/>
      <c r="L458" s="14"/>
      <c r="M458" s="14"/>
    </row>
    <row r="459" spans="1:13" ht="34.5">
      <c r="A459" s="19" t="s">
        <v>842</v>
      </c>
      <c r="B459" s="19" t="s">
        <v>4394</v>
      </c>
      <c r="C459" s="19" t="str">
        <f t="shared" si="7"/>
        <v xml:space="preserve">NA </v>
      </c>
      <c r="D459" s="19" t="s">
        <v>1489</v>
      </c>
      <c r="E459" s="19" t="s">
        <v>2423</v>
      </c>
      <c r="F459" s="19" t="s">
        <v>1491</v>
      </c>
      <c r="G459" s="19" t="s">
        <v>842</v>
      </c>
      <c r="H459" s="19" t="s">
        <v>2424</v>
      </c>
      <c r="I459" s="14"/>
      <c r="J459" s="14"/>
      <c r="K459" s="14"/>
      <c r="L459" s="14"/>
      <c r="M459" s="14"/>
    </row>
    <row r="460" spans="1:13" ht="34.5">
      <c r="A460" s="19" t="s">
        <v>629</v>
      </c>
      <c r="B460" s="19" t="s">
        <v>842</v>
      </c>
      <c r="C460" s="19" t="str">
        <f t="shared" si="7"/>
        <v>Patrick NA</v>
      </c>
      <c r="D460" s="19" t="s">
        <v>1489</v>
      </c>
      <c r="E460" s="19" t="s">
        <v>2425</v>
      </c>
      <c r="F460" s="19" t="s">
        <v>1491</v>
      </c>
      <c r="G460" s="19" t="s">
        <v>2426</v>
      </c>
      <c r="H460" s="19">
        <v>97302116</v>
      </c>
      <c r="I460" s="14"/>
      <c r="J460" s="14"/>
      <c r="K460" s="14"/>
      <c r="L460" s="14"/>
      <c r="M460" s="14"/>
    </row>
    <row r="461" spans="1:13" ht="34.5">
      <c r="A461" s="19" t="s">
        <v>2427</v>
      </c>
      <c r="B461" s="19" t="s">
        <v>473</v>
      </c>
      <c r="C461" s="19" t="str">
        <f t="shared" si="7"/>
        <v>Max Chua</v>
      </c>
      <c r="D461" s="19" t="s">
        <v>1489</v>
      </c>
      <c r="E461" s="19" t="s">
        <v>2428</v>
      </c>
      <c r="F461" s="19" t="s">
        <v>1491</v>
      </c>
      <c r="G461" s="19" t="s">
        <v>2429</v>
      </c>
      <c r="H461" s="19">
        <v>91113931</v>
      </c>
      <c r="I461" s="14"/>
      <c r="J461" s="14"/>
      <c r="K461" s="14"/>
      <c r="L461" s="14"/>
      <c r="M461" s="14"/>
    </row>
    <row r="462" spans="1:13" ht="46">
      <c r="A462" s="19" t="s">
        <v>2430</v>
      </c>
      <c r="B462" s="19" t="s">
        <v>4626</v>
      </c>
      <c r="C462" s="19" t="str">
        <f t="shared" si="7"/>
        <v>Schaa Rose</v>
      </c>
      <c r="D462" s="19" t="s">
        <v>1489</v>
      </c>
      <c r="E462" s="19" t="s">
        <v>2431</v>
      </c>
      <c r="F462" s="19" t="s">
        <v>1491</v>
      </c>
      <c r="G462" s="19" t="s">
        <v>2432</v>
      </c>
      <c r="H462" s="19">
        <v>88148824</v>
      </c>
      <c r="I462" s="14"/>
      <c r="J462" s="14"/>
      <c r="K462" s="14"/>
      <c r="L462" s="14"/>
      <c r="M462" s="14"/>
    </row>
    <row r="463" spans="1:13" ht="23">
      <c r="A463" s="19" t="s">
        <v>4564</v>
      </c>
      <c r="B463" s="19" t="s">
        <v>842</v>
      </c>
      <c r="C463" s="19" t="str">
        <f t="shared" si="7"/>
        <v>KArl NA</v>
      </c>
      <c r="D463" s="19" t="s">
        <v>1489</v>
      </c>
      <c r="E463" s="19" t="s">
        <v>2433</v>
      </c>
      <c r="F463" s="19" t="s">
        <v>1491</v>
      </c>
      <c r="G463" s="19" t="s">
        <v>2434</v>
      </c>
      <c r="H463" s="19">
        <v>83827862</v>
      </c>
      <c r="I463" s="14"/>
      <c r="J463" s="14"/>
      <c r="K463" s="14"/>
      <c r="L463" s="14"/>
      <c r="M463" s="14"/>
    </row>
    <row r="464" spans="1:13" ht="34.5">
      <c r="A464" s="19" t="s">
        <v>4565</v>
      </c>
      <c r="B464" s="19" t="s">
        <v>4394</v>
      </c>
      <c r="C464" s="19" t="str">
        <f t="shared" si="7"/>
        <v xml:space="preserve">Hung </v>
      </c>
      <c r="D464" s="19" t="s">
        <v>1489</v>
      </c>
      <c r="E464" s="19" t="s">
        <v>2435</v>
      </c>
      <c r="F464" s="19" t="s">
        <v>1491</v>
      </c>
      <c r="G464" s="19" t="s">
        <v>2436</v>
      </c>
      <c r="H464" s="19" t="s">
        <v>2437</v>
      </c>
      <c r="I464" s="14"/>
      <c r="J464" s="14"/>
      <c r="K464" s="14"/>
      <c r="L464" s="14"/>
      <c r="M464" s="14"/>
    </row>
    <row r="465" spans="1:13" ht="34.5">
      <c r="A465" s="19" t="s">
        <v>2438</v>
      </c>
      <c r="B465" s="19" t="s">
        <v>4394</v>
      </c>
      <c r="C465" s="19" t="str">
        <f t="shared" si="7"/>
        <v xml:space="preserve">Nazeer </v>
      </c>
      <c r="D465" s="19" t="s">
        <v>1489</v>
      </c>
      <c r="E465" s="19" t="s">
        <v>2439</v>
      </c>
      <c r="F465" s="19" t="s">
        <v>1491</v>
      </c>
      <c r="G465" s="19" t="s">
        <v>842</v>
      </c>
      <c r="H465" s="19" t="s">
        <v>2440</v>
      </c>
      <c r="I465" s="14"/>
      <c r="J465" s="14"/>
      <c r="K465" s="14"/>
      <c r="L465" s="14"/>
      <c r="M465" s="14"/>
    </row>
    <row r="466" spans="1:13" ht="34.5">
      <c r="A466" s="19" t="s">
        <v>572</v>
      </c>
      <c r="B466" s="19" t="s">
        <v>432</v>
      </c>
      <c r="C466" s="19" t="str">
        <f t="shared" si="7"/>
        <v>Stella Chen</v>
      </c>
      <c r="D466" s="19" t="s">
        <v>1489</v>
      </c>
      <c r="E466" s="19" t="s">
        <v>2442</v>
      </c>
      <c r="F466" s="19" t="s">
        <v>1491</v>
      </c>
      <c r="G466" s="19" t="s">
        <v>2443</v>
      </c>
      <c r="H466" s="19">
        <v>96610230</v>
      </c>
      <c r="I466" s="14"/>
      <c r="J466" s="14"/>
      <c r="K466" s="14"/>
      <c r="L466" s="14"/>
      <c r="M466" s="14"/>
    </row>
    <row r="467" spans="1:13" ht="23">
      <c r="A467" s="19" t="s">
        <v>2444</v>
      </c>
      <c r="B467" s="19" t="s">
        <v>4627</v>
      </c>
      <c r="C467" s="19" t="str">
        <f t="shared" si="7"/>
        <v>zi ning
 Ning</v>
      </c>
      <c r="D467" s="19" t="s">
        <v>1489</v>
      </c>
      <c r="E467" s="19" t="s">
        <v>2445</v>
      </c>
      <c r="F467" s="19" t="s">
        <v>1491</v>
      </c>
      <c r="G467" s="19" t="s">
        <v>2446</v>
      </c>
      <c r="H467" s="19">
        <v>97389460</v>
      </c>
      <c r="I467" s="14"/>
      <c r="J467" s="14"/>
      <c r="K467" s="14"/>
      <c r="L467" s="14"/>
      <c r="M467" s="14"/>
    </row>
    <row r="468" spans="1:13" ht="34.5">
      <c r="A468" s="19" t="s">
        <v>4447</v>
      </c>
      <c r="B468" s="19" t="s">
        <v>4587</v>
      </c>
      <c r="C468" s="19" t="str">
        <f t="shared" si="7"/>
        <v>Rita Qi</v>
      </c>
      <c r="D468" s="19" t="s">
        <v>1489</v>
      </c>
      <c r="E468" s="19" t="s">
        <v>2447</v>
      </c>
      <c r="F468" s="19" t="s">
        <v>1491</v>
      </c>
      <c r="G468" s="19" t="s">
        <v>1715</v>
      </c>
      <c r="H468" s="19">
        <v>90173997</v>
      </c>
      <c r="I468" s="14"/>
      <c r="J468" s="14"/>
      <c r="K468" s="14"/>
      <c r="L468" s="14"/>
      <c r="M468" s="14"/>
    </row>
    <row r="469" spans="1:13" ht="12.5">
      <c r="A469" s="19"/>
      <c r="B469" s="19"/>
      <c r="C469" s="19"/>
      <c r="D469" s="19"/>
      <c r="E469" s="19"/>
      <c r="F469" s="19"/>
      <c r="G469" s="19"/>
      <c r="H469" s="19"/>
      <c r="I469" s="14"/>
      <c r="J469" s="14"/>
      <c r="K469" s="14"/>
      <c r="L469" s="14"/>
      <c r="M469" s="14"/>
    </row>
    <row r="470" spans="1:13" ht="12.5">
      <c r="A470" s="19"/>
      <c r="B470" s="19"/>
      <c r="C470" s="19"/>
      <c r="D470" s="19"/>
      <c r="E470" s="19"/>
      <c r="F470" s="19"/>
      <c r="G470" s="19"/>
      <c r="H470" s="19"/>
      <c r="I470" s="14"/>
      <c r="J470" s="14"/>
      <c r="K470" s="14"/>
      <c r="L470" s="14"/>
      <c r="M470" s="14"/>
    </row>
    <row r="471" spans="1:13" ht="12.5">
      <c r="A471" s="19"/>
      <c r="B471" s="19"/>
      <c r="C471" s="19"/>
      <c r="D471" s="19"/>
      <c r="E471" s="19"/>
      <c r="F471" s="19"/>
      <c r="G471" s="19"/>
      <c r="H471" s="19"/>
      <c r="I471" s="14"/>
      <c r="J471" s="14"/>
      <c r="K471" s="14"/>
      <c r="L471" s="14"/>
      <c r="M471" s="14"/>
    </row>
    <row r="472" spans="1:13" ht="12.5">
      <c r="A472" s="19"/>
      <c r="B472" s="19"/>
      <c r="C472" s="19"/>
      <c r="D472" s="19"/>
      <c r="E472" s="19"/>
      <c r="F472" s="19"/>
      <c r="G472" s="19"/>
      <c r="H472" s="19"/>
      <c r="I472" s="14"/>
      <c r="J472" s="14"/>
      <c r="K472" s="14"/>
      <c r="L472" s="14"/>
      <c r="M472" s="14"/>
    </row>
    <row r="473" spans="1:13" ht="12.5">
      <c r="A473" s="19"/>
      <c r="B473" s="19"/>
      <c r="C473" s="19"/>
      <c r="D473" s="19"/>
      <c r="E473" s="19"/>
      <c r="F473" s="19"/>
      <c r="G473" s="19"/>
      <c r="H473" s="19"/>
      <c r="I473" s="14"/>
      <c r="J473" s="14"/>
      <c r="K473" s="14"/>
      <c r="L473" s="14"/>
      <c r="M473" s="14"/>
    </row>
    <row r="474" spans="1:13" ht="12.5">
      <c r="A474" s="19"/>
      <c r="B474" s="19"/>
      <c r="C474" s="19"/>
      <c r="D474" s="19"/>
      <c r="E474" s="19"/>
      <c r="F474" s="19"/>
      <c r="G474" s="19"/>
      <c r="H474" s="19"/>
      <c r="I474" s="14"/>
      <c r="J474" s="14"/>
      <c r="K474" s="14"/>
      <c r="L474" s="14"/>
      <c r="M474" s="14"/>
    </row>
    <row r="475" spans="1:13" ht="12.5">
      <c r="A475" s="19"/>
      <c r="B475" s="19"/>
      <c r="C475" s="19"/>
      <c r="D475" s="19"/>
      <c r="E475" s="19"/>
      <c r="F475" s="19"/>
      <c r="G475" s="19"/>
      <c r="H475" s="19"/>
      <c r="I475" s="14"/>
      <c r="J475" s="14"/>
      <c r="K475" s="14"/>
      <c r="L475" s="14"/>
      <c r="M475" s="14"/>
    </row>
    <row r="476" spans="1:13" ht="12.5">
      <c r="A476" s="19"/>
      <c r="B476" s="19"/>
      <c r="C476" s="19"/>
      <c r="D476" s="19"/>
      <c r="E476" s="19"/>
      <c r="F476" s="19"/>
      <c r="G476" s="19"/>
      <c r="H476" s="19"/>
      <c r="I476" s="14"/>
      <c r="J476" s="14"/>
      <c r="K476" s="14"/>
      <c r="L476" s="14"/>
      <c r="M476" s="14"/>
    </row>
    <row r="477" spans="1:13" ht="12.5">
      <c r="A477" s="19"/>
      <c r="B477" s="19"/>
      <c r="C477" s="19"/>
      <c r="D477" s="19"/>
      <c r="E477" s="19"/>
      <c r="F477" s="19"/>
      <c r="G477" s="19"/>
      <c r="H477" s="19"/>
      <c r="I477" s="14"/>
      <c r="J477" s="14"/>
      <c r="K477" s="14"/>
      <c r="L477" s="14"/>
      <c r="M477" s="14"/>
    </row>
    <row r="478" spans="1:13" ht="12.5">
      <c r="A478" s="19"/>
      <c r="B478" s="19"/>
      <c r="C478" s="19"/>
      <c r="D478" s="19"/>
      <c r="E478" s="19"/>
      <c r="F478" s="19"/>
      <c r="G478" s="19"/>
      <c r="H478" s="19"/>
      <c r="I478" s="14"/>
      <c r="J478" s="14"/>
      <c r="K478" s="14"/>
      <c r="L478" s="14"/>
      <c r="M478" s="14"/>
    </row>
    <row r="479" spans="1:13" ht="12.5">
      <c r="A479" s="19"/>
      <c r="B479" s="19"/>
      <c r="C479" s="19"/>
      <c r="D479" s="19"/>
      <c r="E479" s="19"/>
      <c r="F479" s="19"/>
      <c r="G479" s="19"/>
      <c r="H479" s="19"/>
      <c r="I479" s="14"/>
      <c r="J479" s="14"/>
      <c r="K479" s="14"/>
      <c r="L479" s="14"/>
      <c r="M479" s="14"/>
    </row>
    <row r="480" spans="1:13" ht="12.5">
      <c r="A480" s="19"/>
      <c r="B480" s="19"/>
      <c r="C480" s="19"/>
      <c r="D480" s="19"/>
      <c r="E480" s="19"/>
      <c r="F480" s="19"/>
      <c r="G480" s="19"/>
      <c r="H480" s="19"/>
      <c r="I480" s="14"/>
      <c r="J480" s="14"/>
      <c r="K480" s="14"/>
      <c r="L480" s="14"/>
      <c r="M480" s="14"/>
    </row>
    <row r="481" spans="1:13" ht="12.5">
      <c r="A481" s="19"/>
      <c r="B481" s="19"/>
      <c r="C481" s="19"/>
      <c r="D481" s="19"/>
      <c r="E481" s="19"/>
      <c r="F481" s="19"/>
      <c r="G481" s="19"/>
      <c r="H481" s="19"/>
      <c r="I481" s="14"/>
      <c r="J481" s="14"/>
      <c r="K481" s="14"/>
      <c r="L481" s="14"/>
      <c r="M481" s="14"/>
    </row>
    <row r="482" spans="1:13" ht="12.5">
      <c r="A482" s="19"/>
      <c r="B482" s="19"/>
      <c r="C482" s="19"/>
      <c r="D482" s="19"/>
      <c r="E482" s="19"/>
      <c r="F482" s="19"/>
      <c r="G482" s="19"/>
      <c r="H482" s="19"/>
      <c r="I482" s="14"/>
      <c r="J482" s="14"/>
      <c r="K482" s="14"/>
      <c r="L482" s="14"/>
      <c r="M482" s="14"/>
    </row>
    <row r="483" spans="1:13" ht="12.5">
      <c r="A483" s="19"/>
      <c r="B483" s="19"/>
      <c r="C483" s="19"/>
      <c r="D483" s="19"/>
      <c r="E483" s="19"/>
      <c r="F483" s="19"/>
      <c r="G483" s="19"/>
      <c r="H483" s="19"/>
      <c r="I483" s="14"/>
      <c r="J483" s="14"/>
      <c r="K483" s="14"/>
      <c r="L483" s="14"/>
      <c r="M483" s="14"/>
    </row>
    <row r="484" spans="1:13" ht="12.5">
      <c r="A484" s="19"/>
      <c r="B484" s="19"/>
      <c r="C484" s="19"/>
      <c r="D484" s="19"/>
      <c r="E484" s="19"/>
      <c r="F484" s="19"/>
      <c r="G484" s="19"/>
      <c r="H484" s="19"/>
      <c r="I484" s="14"/>
      <c r="J484" s="14"/>
      <c r="K484" s="14"/>
      <c r="L484" s="14"/>
      <c r="M484" s="14"/>
    </row>
    <row r="485" spans="1:13" ht="12.5">
      <c r="A485" s="19"/>
      <c r="B485" s="19"/>
      <c r="C485" s="19"/>
      <c r="D485" s="19"/>
      <c r="E485" s="19"/>
      <c r="F485" s="19"/>
      <c r="G485" s="19"/>
      <c r="H485" s="19"/>
      <c r="I485" s="14"/>
      <c r="J485" s="14"/>
      <c r="K485" s="14"/>
      <c r="L485" s="14"/>
      <c r="M485" s="14"/>
    </row>
    <row r="486" spans="1:13" ht="12.5">
      <c r="A486" s="19"/>
      <c r="B486" s="19"/>
      <c r="C486" s="19"/>
      <c r="D486" s="19"/>
      <c r="E486" s="19"/>
      <c r="F486" s="19"/>
      <c r="G486" s="19"/>
      <c r="H486" s="19"/>
      <c r="I486" s="14"/>
      <c r="J486" s="14"/>
      <c r="K486" s="14"/>
      <c r="L486" s="14"/>
      <c r="M486" s="14"/>
    </row>
    <row r="487" spans="1:13" ht="12.5">
      <c r="A487" s="19"/>
      <c r="B487" s="19"/>
      <c r="C487" s="19"/>
      <c r="D487" s="19"/>
      <c r="E487" s="19"/>
      <c r="F487" s="19"/>
      <c r="G487" s="19"/>
      <c r="H487" s="19"/>
      <c r="I487" s="14"/>
      <c r="J487" s="14"/>
      <c r="K487" s="14"/>
      <c r="L487" s="14"/>
      <c r="M487" s="14"/>
    </row>
    <row r="488" spans="1:13" ht="12.5">
      <c r="A488" s="19"/>
      <c r="B488" s="19"/>
      <c r="C488" s="19"/>
      <c r="D488" s="19"/>
      <c r="E488" s="19"/>
      <c r="F488" s="19"/>
      <c r="G488" s="19"/>
      <c r="H488" s="19"/>
      <c r="I488" s="14"/>
      <c r="J488" s="14"/>
      <c r="K488" s="14"/>
      <c r="L488" s="14"/>
      <c r="M488" s="14"/>
    </row>
    <row r="489" spans="1:13" ht="12.5">
      <c r="A489" s="19"/>
      <c r="B489" s="19"/>
      <c r="C489" s="19"/>
      <c r="D489" s="19"/>
      <c r="E489" s="19"/>
      <c r="F489" s="19"/>
      <c r="G489" s="19"/>
      <c r="H489" s="19"/>
      <c r="I489" s="14"/>
      <c r="J489" s="14"/>
      <c r="K489" s="14"/>
      <c r="L489" s="14"/>
      <c r="M489" s="14"/>
    </row>
    <row r="490" spans="1:13" ht="12.5">
      <c r="A490" s="19"/>
      <c r="B490" s="19"/>
      <c r="C490" s="19"/>
      <c r="D490" s="19"/>
      <c r="E490" s="19"/>
      <c r="F490" s="19"/>
      <c r="G490" s="19"/>
      <c r="H490" s="19"/>
      <c r="I490" s="14"/>
      <c r="J490" s="14"/>
      <c r="K490" s="14"/>
      <c r="L490" s="14"/>
      <c r="M490" s="14"/>
    </row>
    <row r="491" spans="1:13" ht="12.5">
      <c r="A491" s="19"/>
      <c r="B491" s="19"/>
      <c r="C491" s="19"/>
      <c r="D491" s="19"/>
      <c r="E491" s="19"/>
      <c r="F491" s="19"/>
      <c r="G491" s="19"/>
      <c r="H491" s="19"/>
      <c r="I491" s="14"/>
      <c r="J491" s="14"/>
      <c r="K491" s="14"/>
      <c r="L491" s="14"/>
      <c r="M491" s="14"/>
    </row>
    <row r="492" spans="1:13" ht="12.5">
      <c r="A492" s="19"/>
      <c r="B492" s="19"/>
      <c r="C492" s="19"/>
      <c r="D492" s="19"/>
      <c r="E492" s="19"/>
      <c r="F492" s="19"/>
      <c r="G492" s="19"/>
      <c r="H492" s="19"/>
      <c r="I492" s="14"/>
      <c r="J492" s="14"/>
      <c r="K492" s="14"/>
      <c r="L492" s="14"/>
      <c r="M492" s="14"/>
    </row>
    <row r="493" spans="1:13" ht="12.5">
      <c r="A493" s="19"/>
      <c r="B493" s="19"/>
      <c r="C493" s="19"/>
      <c r="D493" s="19"/>
      <c r="E493" s="19"/>
      <c r="F493" s="19"/>
      <c r="G493" s="19"/>
      <c r="H493" s="19"/>
      <c r="I493" s="14"/>
      <c r="J493" s="14"/>
      <c r="K493" s="14"/>
      <c r="L493" s="14"/>
      <c r="M493" s="14"/>
    </row>
    <row r="494" spans="1:13" ht="12.5">
      <c r="A494" s="19"/>
      <c r="B494" s="19"/>
      <c r="C494" s="19"/>
      <c r="D494" s="19"/>
      <c r="E494" s="19"/>
      <c r="F494" s="19"/>
      <c r="G494" s="19"/>
      <c r="H494" s="19"/>
      <c r="I494" s="14"/>
      <c r="J494" s="14"/>
      <c r="K494" s="14"/>
      <c r="L494" s="14"/>
      <c r="M494" s="14"/>
    </row>
    <row r="495" spans="1:13" ht="12.5">
      <c r="A495" s="19"/>
      <c r="B495" s="19"/>
      <c r="C495" s="19"/>
      <c r="D495" s="19"/>
      <c r="E495" s="19"/>
      <c r="F495" s="19"/>
      <c r="G495" s="19"/>
      <c r="H495" s="19"/>
      <c r="I495" s="14"/>
      <c r="J495" s="14"/>
      <c r="K495" s="14"/>
      <c r="L495" s="14"/>
      <c r="M495" s="14"/>
    </row>
    <row r="496" spans="1:13" ht="12.5">
      <c r="A496" s="19"/>
      <c r="B496" s="19"/>
      <c r="C496" s="19"/>
      <c r="D496" s="19"/>
      <c r="E496" s="19"/>
      <c r="F496" s="19"/>
      <c r="G496" s="19"/>
      <c r="H496" s="19"/>
      <c r="I496" s="14"/>
      <c r="J496" s="14"/>
      <c r="K496" s="14"/>
      <c r="L496" s="14"/>
      <c r="M496" s="14"/>
    </row>
    <row r="497" spans="1:13" ht="12.5">
      <c r="A497" s="19"/>
      <c r="B497" s="19"/>
      <c r="C497" s="19"/>
      <c r="D497" s="19"/>
      <c r="E497" s="19"/>
      <c r="F497" s="19"/>
      <c r="G497" s="19"/>
      <c r="H497" s="19"/>
      <c r="I497" s="14"/>
      <c r="J497" s="14"/>
      <c r="K497" s="14"/>
      <c r="L497" s="14"/>
      <c r="M497" s="14"/>
    </row>
    <row r="498" spans="1:13" ht="12.5">
      <c r="A498" s="19"/>
      <c r="B498" s="19"/>
      <c r="C498" s="19"/>
      <c r="D498" s="19"/>
      <c r="E498" s="19"/>
      <c r="F498" s="19"/>
      <c r="G498" s="19"/>
      <c r="H498" s="19"/>
      <c r="I498" s="14"/>
      <c r="J498" s="14"/>
      <c r="K498" s="14"/>
      <c r="L498" s="14"/>
      <c r="M498" s="14"/>
    </row>
    <row r="499" spans="1:13" ht="12.5">
      <c r="A499" s="19"/>
      <c r="B499" s="19"/>
      <c r="C499" s="19"/>
      <c r="D499" s="19"/>
      <c r="E499" s="19"/>
      <c r="F499" s="19"/>
      <c r="G499" s="19"/>
      <c r="H499" s="19"/>
      <c r="I499" s="14"/>
      <c r="J499" s="14"/>
      <c r="K499" s="14"/>
      <c r="L499" s="14"/>
      <c r="M499" s="14"/>
    </row>
    <row r="500" spans="1:13" ht="12.5">
      <c r="A500" s="19"/>
      <c r="B500" s="19"/>
      <c r="C500" s="19"/>
      <c r="D500" s="19"/>
      <c r="E500" s="19"/>
      <c r="F500" s="19"/>
      <c r="G500" s="19"/>
      <c r="H500" s="19"/>
      <c r="I500" s="14"/>
      <c r="J500" s="14"/>
      <c r="K500" s="14"/>
      <c r="L500" s="14"/>
      <c r="M500" s="14"/>
    </row>
    <row r="501" spans="1:13" ht="12.5">
      <c r="A501" s="19"/>
      <c r="B501" s="19"/>
      <c r="C501" s="19"/>
      <c r="D501" s="19"/>
      <c r="E501" s="19"/>
      <c r="F501" s="19"/>
      <c r="G501" s="19"/>
      <c r="H501" s="19"/>
      <c r="I501" s="14"/>
      <c r="J501" s="14"/>
      <c r="K501" s="14"/>
      <c r="L501" s="14"/>
      <c r="M501" s="14"/>
    </row>
    <row r="502" spans="1:13" ht="12.5">
      <c r="A502" s="19"/>
      <c r="B502" s="19"/>
      <c r="C502" s="19"/>
      <c r="D502" s="19"/>
      <c r="E502" s="19"/>
      <c r="F502" s="19"/>
      <c r="G502" s="19"/>
      <c r="H502" s="19"/>
      <c r="I502" s="14"/>
      <c r="J502" s="14"/>
      <c r="K502" s="14"/>
      <c r="L502" s="14"/>
      <c r="M502" s="14"/>
    </row>
    <row r="503" spans="1:13" ht="12.5">
      <c r="A503" s="19"/>
      <c r="B503" s="19"/>
      <c r="C503" s="19"/>
      <c r="D503" s="19"/>
      <c r="E503" s="19"/>
      <c r="F503" s="19"/>
      <c r="G503" s="19"/>
      <c r="H503" s="19"/>
      <c r="I503" s="14"/>
      <c r="J503" s="14"/>
      <c r="K503" s="14"/>
      <c r="L503" s="14"/>
      <c r="M503" s="14"/>
    </row>
    <row r="504" spans="1:13" ht="12.5">
      <c r="A504" s="19"/>
      <c r="B504" s="19"/>
      <c r="C504" s="19"/>
      <c r="D504" s="19"/>
      <c r="E504" s="19"/>
      <c r="F504" s="19"/>
      <c r="G504" s="19"/>
      <c r="H504" s="19"/>
      <c r="I504" s="14"/>
      <c r="J504" s="14"/>
      <c r="K504" s="14"/>
      <c r="L504" s="14"/>
      <c r="M504" s="14"/>
    </row>
    <row r="505" spans="1:13" ht="12.5">
      <c r="A505" s="19"/>
      <c r="B505" s="19"/>
      <c r="C505" s="19"/>
      <c r="D505" s="19"/>
      <c r="E505" s="19"/>
      <c r="F505" s="19"/>
      <c r="G505" s="19"/>
      <c r="H505" s="19"/>
      <c r="I505" s="14"/>
      <c r="J505" s="14"/>
      <c r="K505" s="14"/>
      <c r="L505" s="14"/>
      <c r="M505" s="14"/>
    </row>
    <row r="506" spans="1:13" ht="12.5">
      <c r="A506" s="19"/>
      <c r="B506" s="19"/>
      <c r="C506" s="19"/>
      <c r="D506" s="19"/>
      <c r="E506" s="19"/>
      <c r="F506" s="19"/>
      <c r="G506" s="19"/>
      <c r="H506" s="19"/>
      <c r="I506" s="14"/>
      <c r="J506" s="14"/>
      <c r="K506" s="14"/>
      <c r="L506" s="14"/>
      <c r="M506" s="14"/>
    </row>
    <row r="507" spans="1:13" ht="12.5">
      <c r="A507" s="19"/>
      <c r="B507" s="19"/>
      <c r="C507" s="19"/>
      <c r="D507" s="19"/>
      <c r="E507" s="19"/>
      <c r="F507" s="19"/>
      <c r="G507" s="19"/>
      <c r="H507" s="19"/>
      <c r="I507" s="14"/>
      <c r="J507" s="14"/>
      <c r="K507" s="14"/>
      <c r="L507" s="14"/>
      <c r="M507" s="14"/>
    </row>
    <row r="508" spans="1:13" ht="12.5">
      <c r="A508" s="19"/>
      <c r="B508" s="19"/>
      <c r="C508" s="19"/>
      <c r="D508" s="19"/>
      <c r="E508" s="19"/>
      <c r="F508" s="19"/>
      <c r="G508" s="19"/>
      <c r="H508" s="19"/>
      <c r="I508" s="14"/>
      <c r="J508" s="14"/>
      <c r="K508" s="14"/>
      <c r="L508" s="14"/>
      <c r="M508" s="14"/>
    </row>
    <row r="509" spans="1:13" ht="12.5">
      <c r="A509" s="19"/>
      <c r="B509" s="19"/>
      <c r="C509" s="19"/>
      <c r="D509" s="19"/>
      <c r="E509" s="19"/>
      <c r="F509" s="19"/>
      <c r="G509" s="19"/>
      <c r="H509" s="19"/>
      <c r="I509" s="14"/>
      <c r="J509" s="14"/>
      <c r="K509" s="14"/>
      <c r="L509" s="14"/>
      <c r="M509" s="14"/>
    </row>
    <row r="510" spans="1:13" ht="12.5">
      <c r="A510" s="19"/>
      <c r="B510" s="19"/>
      <c r="C510" s="19"/>
      <c r="D510" s="19"/>
      <c r="E510" s="19"/>
      <c r="F510" s="19"/>
      <c r="G510" s="19"/>
      <c r="H510" s="19"/>
      <c r="I510" s="14"/>
      <c r="J510" s="14"/>
      <c r="K510" s="14"/>
      <c r="L510" s="14"/>
      <c r="M510" s="14"/>
    </row>
    <row r="511" spans="1:13" ht="12.5">
      <c r="A511" s="19"/>
      <c r="B511" s="19"/>
      <c r="C511" s="19"/>
      <c r="D511" s="19"/>
      <c r="E511" s="19"/>
      <c r="F511" s="19"/>
      <c r="G511" s="19"/>
      <c r="H511" s="19"/>
      <c r="I511" s="14"/>
      <c r="J511" s="14"/>
      <c r="K511" s="14"/>
      <c r="L511" s="14"/>
      <c r="M511" s="14"/>
    </row>
    <row r="512" spans="1:13" ht="12.5">
      <c r="A512" s="19"/>
      <c r="B512" s="19"/>
      <c r="C512" s="19"/>
      <c r="D512" s="19"/>
      <c r="E512" s="19"/>
      <c r="F512" s="19"/>
      <c r="G512" s="19"/>
      <c r="H512" s="19"/>
      <c r="I512" s="14"/>
      <c r="J512" s="14"/>
      <c r="K512" s="14"/>
      <c r="L512" s="14"/>
      <c r="M512" s="14"/>
    </row>
    <row r="513" spans="1:13" ht="12.5">
      <c r="A513" s="19"/>
      <c r="B513" s="19"/>
      <c r="C513" s="19"/>
      <c r="D513" s="19"/>
      <c r="E513" s="19"/>
      <c r="F513" s="19"/>
      <c r="G513" s="19"/>
      <c r="H513" s="19"/>
      <c r="I513" s="14"/>
      <c r="J513" s="14"/>
      <c r="K513" s="14"/>
      <c r="L513" s="14"/>
      <c r="M513" s="14"/>
    </row>
    <row r="514" spans="1:13" ht="12.5">
      <c r="A514" s="19"/>
      <c r="B514" s="19"/>
      <c r="C514" s="19"/>
      <c r="D514" s="19"/>
      <c r="E514" s="19"/>
      <c r="F514" s="19"/>
      <c r="G514" s="19"/>
      <c r="H514" s="19"/>
      <c r="I514" s="14"/>
      <c r="J514" s="14"/>
      <c r="K514" s="14"/>
      <c r="L514" s="14"/>
      <c r="M514" s="14"/>
    </row>
    <row r="515" spans="1:13" ht="12.5">
      <c r="A515" s="19"/>
      <c r="B515" s="19"/>
      <c r="C515" s="19"/>
      <c r="D515" s="19"/>
      <c r="E515" s="19"/>
      <c r="F515" s="19"/>
      <c r="G515" s="19"/>
      <c r="H515" s="19"/>
      <c r="I515" s="14"/>
      <c r="J515" s="14"/>
      <c r="K515" s="14"/>
      <c r="L515" s="14"/>
      <c r="M515" s="14"/>
    </row>
    <row r="516" spans="1:13" ht="12.5">
      <c r="A516" s="19"/>
      <c r="B516" s="19"/>
      <c r="C516" s="19"/>
      <c r="D516" s="19"/>
      <c r="E516" s="19"/>
      <c r="F516" s="19"/>
      <c r="G516" s="19"/>
      <c r="H516" s="19"/>
      <c r="I516" s="14"/>
      <c r="J516" s="14"/>
      <c r="K516" s="14"/>
      <c r="L516" s="14"/>
      <c r="M516" s="14"/>
    </row>
    <row r="517" spans="1:13" ht="12.5">
      <c r="A517" s="19"/>
      <c r="B517" s="19"/>
      <c r="C517" s="19"/>
      <c r="D517" s="19"/>
      <c r="E517" s="19"/>
      <c r="F517" s="19"/>
      <c r="G517" s="19"/>
      <c r="H517" s="19"/>
      <c r="I517" s="14"/>
      <c r="J517" s="14"/>
      <c r="K517" s="14"/>
      <c r="L517" s="14"/>
      <c r="M517" s="14"/>
    </row>
    <row r="518" spans="1:13" ht="12.5">
      <c r="A518" s="19"/>
      <c r="B518" s="19"/>
      <c r="C518" s="19"/>
      <c r="D518" s="19"/>
      <c r="E518" s="19"/>
      <c r="F518" s="19"/>
      <c r="G518" s="19"/>
      <c r="H518" s="19"/>
      <c r="I518" s="14"/>
      <c r="J518" s="14"/>
      <c r="K518" s="14"/>
      <c r="L518" s="14"/>
      <c r="M518" s="14"/>
    </row>
    <row r="519" spans="1:13" ht="12.5">
      <c r="A519" s="19"/>
      <c r="B519" s="19"/>
      <c r="C519" s="19"/>
      <c r="D519" s="19"/>
      <c r="E519" s="19"/>
      <c r="F519" s="19"/>
      <c r="G519" s="19"/>
      <c r="H519" s="19"/>
      <c r="I519" s="14"/>
      <c r="J519" s="14"/>
      <c r="K519" s="14"/>
      <c r="L519" s="14"/>
      <c r="M519" s="14"/>
    </row>
    <row r="520" spans="1:13" ht="12.5">
      <c r="A520" s="19"/>
      <c r="B520" s="19"/>
      <c r="C520" s="19"/>
      <c r="D520" s="19"/>
      <c r="E520" s="19"/>
      <c r="F520" s="19"/>
      <c r="G520" s="19"/>
      <c r="H520" s="19"/>
      <c r="I520" s="14"/>
      <c r="J520" s="14"/>
      <c r="K520" s="14"/>
      <c r="L520" s="14"/>
      <c r="M520" s="14"/>
    </row>
    <row r="521" spans="1:13" ht="12.5">
      <c r="A521" s="19"/>
      <c r="B521" s="19"/>
      <c r="C521" s="19"/>
      <c r="D521" s="19"/>
      <c r="E521" s="19"/>
      <c r="F521" s="19"/>
      <c r="G521" s="19"/>
      <c r="H521" s="19"/>
      <c r="I521" s="14"/>
      <c r="J521" s="14"/>
      <c r="K521" s="14"/>
      <c r="L521" s="14"/>
      <c r="M521" s="14"/>
    </row>
    <row r="522" spans="1:13" ht="12.5">
      <c r="A522" s="19"/>
      <c r="B522" s="19"/>
      <c r="C522" s="19"/>
      <c r="D522" s="19"/>
      <c r="E522" s="19"/>
      <c r="F522" s="19"/>
      <c r="G522" s="19"/>
      <c r="H522" s="19"/>
      <c r="I522" s="14"/>
      <c r="J522" s="14"/>
      <c r="K522" s="14"/>
      <c r="L522" s="14"/>
      <c r="M522" s="14"/>
    </row>
    <row r="523" spans="1:13" ht="12.5">
      <c r="A523" s="19"/>
      <c r="B523" s="19"/>
      <c r="C523" s="19"/>
      <c r="D523" s="19"/>
      <c r="E523" s="19"/>
      <c r="F523" s="19"/>
      <c r="G523" s="19"/>
      <c r="H523" s="19"/>
      <c r="I523" s="14"/>
      <c r="J523" s="14"/>
      <c r="K523" s="14"/>
      <c r="L523" s="14"/>
      <c r="M523" s="14"/>
    </row>
    <row r="524" spans="1:13" ht="12.5">
      <c r="A524" s="19"/>
      <c r="B524" s="19"/>
      <c r="C524" s="19"/>
      <c r="D524" s="19"/>
      <c r="E524" s="19"/>
      <c r="F524" s="19"/>
      <c r="G524" s="19"/>
      <c r="H524" s="19"/>
      <c r="I524" s="14"/>
      <c r="J524" s="14"/>
      <c r="K524" s="14"/>
      <c r="L524" s="14"/>
      <c r="M524" s="14"/>
    </row>
    <row r="525" spans="1:13" ht="12.5">
      <c r="A525" s="19"/>
      <c r="B525" s="19"/>
      <c r="C525" s="19"/>
      <c r="D525" s="19"/>
      <c r="E525" s="19"/>
      <c r="F525" s="19"/>
      <c r="G525" s="19"/>
      <c r="H525" s="19"/>
      <c r="I525" s="14"/>
      <c r="J525" s="14"/>
      <c r="K525" s="14"/>
      <c r="L525" s="14"/>
      <c r="M525" s="14"/>
    </row>
    <row r="526" spans="1:13" ht="12.5">
      <c r="A526" s="19"/>
      <c r="B526" s="19"/>
      <c r="C526" s="19"/>
      <c r="D526" s="19"/>
      <c r="E526" s="19"/>
      <c r="F526" s="19"/>
      <c r="G526" s="19"/>
      <c r="H526" s="19"/>
      <c r="I526" s="14"/>
      <c r="J526" s="14"/>
      <c r="K526" s="14"/>
      <c r="L526" s="14"/>
      <c r="M526" s="14"/>
    </row>
    <row r="527" spans="1:13" ht="12.5">
      <c r="A527" s="19"/>
      <c r="B527" s="19"/>
      <c r="C527" s="19"/>
      <c r="D527" s="19"/>
      <c r="E527" s="19"/>
      <c r="F527" s="19"/>
      <c r="G527" s="19"/>
      <c r="H527" s="19"/>
      <c r="I527" s="14"/>
      <c r="J527" s="14"/>
      <c r="K527" s="14"/>
      <c r="L527" s="14"/>
      <c r="M527" s="14"/>
    </row>
    <row r="528" spans="1:13" ht="12.5">
      <c r="A528" s="19"/>
      <c r="B528" s="19"/>
      <c r="C528" s="19"/>
      <c r="D528" s="19"/>
      <c r="E528" s="19"/>
      <c r="F528" s="19"/>
      <c r="G528" s="19"/>
      <c r="H528" s="19"/>
      <c r="I528" s="14"/>
      <c r="J528" s="14"/>
      <c r="K528" s="14"/>
      <c r="L528" s="14"/>
      <c r="M528" s="14"/>
    </row>
    <row r="529" spans="1:13" ht="12.5">
      <c r="A529" s="19"/>
      <c r="B529" s="19"/>
      <c r="C529" s="19"/>
      <c r="D529" s="19"/>
      <c r="E529" s="19"/>
      <c r="F529" s="19"/>
      <c r="G529" s="19"/>
      <c r="H529" s="19"/>
      <c r="I529" s="14"/>
      <c r="J529" s="14"/>
      <c r="K529" s="14"/>
      <c r="L529" s="14"/>
      <c r="M529" s="14"/>
    </row>
    <row r="530" spans="1:13" ht="12.5">
      <c r="A530" s="19"/>
      <c r="B530" s="19"/>
      <c r="C530" s="19"/>
      <c r="D530" s="19"/>
      <c r="E530" s="19"/>
      <c r="F530" s="19"/>
      <c r="G530" s="19"/>
      <c r="H530" s="19"/>
      <c r="I530" s="14"/>
      <c r="J530" s="14"/>
      <c r="K530" s="14"/>
      <c r="L530" s="14"/>
      <c r="M530" s="14"/>
    </row>
    <row r="531" spans="1:13" ht="12.5">
      <c r="A531" s="19"/>
      <c r="B531" s="19"/>
      <c r="C531" s="19"/>
      <c r="D531" s="19"/>
      <c r="E531" s="19"/>
      <c r="F531" s="19"/>
      <c r="G531" s="19"/>
      <c r="H531" s="19"/>
      <c r="I531" s="14"/>
      <c r="J531" s="14"/>
      <c r="K531" s="14"/>
      <c r="L531" s="14"/>
      <c r="M531" s="14"/>
    </row>
    <row r="532" spans="1:13" ht="12.5">
      <c r="A532" s="19"/>
      <c r="B532" s="19"/>
      <c r="C532" s="19"/>
      <c r="D532" s="19"/>
      <c r="E532" s="19"/>
      <c r="F532" s="19"/>
      <c r="G532" s="19"/>
      <c r="H532" s="19"/>
      <c r="I532" s="14"/>
      <c r="J532" s="14"/>
      <c r="K532" s="14"/>
      <c r="L532" s="14"/>
      <c r="M532" s="14"/>
    </row>
    <row r="533" spans="1:13" ht="12.5">
      <c r="A533" s="19"/>
      <c r="B533" s="19"/>
      <c r="C533" s="19"/>
      <c r="D533" s="19"/>
      <c r="E533" s="19"/>
      <c r="F533" s="19"/>
      <c r="G533" s="19"/>
      <c r="H533" s="19"/>
      <c r="I533" s="14"/>
      <c r="J533" s="14"/>
      <c r="K533" s="14"/>
      <c r="L533" s="14"/>
      <c r="M533" s="14"/>
    </row>
    <row r="534" spans="1:13" ht="12.5">
      <c r="A534" s="19"/>
      <c r="B534" s="19"/>
      <c r="C534" s="19"/>
      <c r="D534" s="19"/>
      <c r="E534" s="19"/>
      <c r="F534" s="19"/>
      <c r="G534" s="19"/>
      <c r="H534" s="19"/>
      <c r="I534" s="14"/>
      <c r="J534" s="14"/>
      <c r="K534" s="14"/>
      <c r="L534" s="14"/>
      <c r="M534" s="14"/>
    </row>
    <row r="535" spans="1:13" ht="12.5">
      <c r="A535" s="19"/>
      <c r="B535" s="19"/>
      <c r="C535" s="19"/>
      <c r="D535" s="19"/>
      <c r="E535" s="19"/>
      <c r="F535" s="19"/>
      <c r="G535" s="19"/>
      <c r="H535" s="19"/>
      <c r="I535" s="14"/>
      <c r="J535" s="14"/>
      <c r="K535" s="14"/>
      <c r="L535" s="14"/>
      <c r="M535" s="14"/>
    </row>
    <row r="536" spans="1:13" ht="12.5">
      <c r="A536" s="19"/>
      <c r="B536" s="19"/>
      <c r="C536" s="19"/>
      <c r="D536" s="19"/>
      <c r="E536" s="19"/>
      <c r="F536" s="19"/>
      <c r="G536" s="19"/>
      <c r="H536" s="19"/>
      <c r="I536" s="14"/>
      <c r="J536" s="14"/>
      <c r="K536" s="14"/>
      <c r="L536" s="14"/>
      <c r="M536" s="14"/>
    </row>
    <row r="537" spans="1:13" ht="12.5">
      <c r="A537" s="19"/>
      <c r="B537" s="19"/>
      <c r="C537" s="19"/>
      <c r="D537" s="19"/>
      <c r="E537" s="19"/>
      <c r="F537" s="19"/>
      <c r="G537" s="19"/>
      <c r="H537" s="19"/>
      <c r="I537" s="14"/>
      <c r="J537" s="14"/>
      <c r="K537" s="14"/>
      <c r="L537" s="14"/>
      <c r="M537" s="14"/>
    </row>
    <row r="538" spans="1:13" ht="12.5">
      <c r="A538" s="19"/>
      <c r="B538" s="19"/>
      <c r="C538" s="19"/>
      <c r="D538" s="19"/>
      <c r="E538" s="19"/>
      <c r="F538" s="19"/>
      <c r="G538" s="19"/>
      <c r="H538" s="19"/>
      <c r="I538" s="14"/>
      <c r="J538" s="14"/>
      <c r="K538" s="14"/>
      <c r="L538" s="14"/>
      <c r="M538" s="14"/>
    </row>
    <row r="539" spans="1:13" ht="12.5">
      <c r="A539" s="19"/>
      <c r="B539" s="19"/>
      <c r="C539" s="19"/>
      <c r="D539" s="19"/>
      <c r="E539" s="19"/>
      <c r="F539" s="19"/>
      <c r="G539" s="19"/>
      <c r="H539" s="19"/>
      <c r="I539" s="14"/>
      <c r="J539" s="14"/>
      <c r="K539" s="14"/>
      <c r="L539" s="14"/>
      <c r="M539" s="14"/>
    </row>
    <row r="540" spans="1:13" ht="12.5">
      <c r="A540" s="19"/>
      <c r="B540" s="19"/>
      <c r="C540" s="19"/>
      <c r="D540" s="19"/>
      <c r="E540" s="19"/>
      <c r="F540" s="19"/>
      <c r="G540" s="19"/>
      <c r="H540" s="19"/>
      <c r="I540" s="14"/>
      <c r="J540" s="14"/>
      <c r="K540" s="14"/>
      <c r="L540" s="14"/>
      <c r="M540" s="14"/>
    </row>
    <row r="541" spans="1:13" ht="12.5">
      <c r="A541" s="19"/>
      <c r="B541" s="19"/>
      <c r="C541" s="19"/>
      <c r="D541" s="19"/>
      <c r="E541" s="19"/>
      <c r="F541" s="19"/>
      <c r="G541" s="19"/>
      <c r="H541" s="19"/>
      <c r="I541" s="14"/>
      <c r="J541" s="14"/>
      <c r="K541" s="14"/>
      <c r="L541" s="14"/>
      <c r="M541" s="14"/>
    </row>
    <row r="542" spans="1:13" ht="12.5">
      <c r="A542" s="19"/>
      <c r="B542" s="19"/>
      <c r="C542" s="19"/>
      <c r="D542" s="19"/>
      <c r="E542" s="19"/>
      <c r="F542" s="19"/>
      <c r="G542" s="19"/>
      <c r="H542" s="19"/>
      <c r="I542" s="14"/>
      <c r="J542" s="14"/>
      <c r="K542" s="14"/>
      <c r="L542" s="14"/>
      <c r="M542" s="14"/>
    </row>
    <row r="543" spans="1:13" ht="12.5">
      <c r="A543" s="19"/>
      <c r="B543" s="19"/>
      <c r="C543" s="19"/>
      <c r="D543" s="19"/>
      <c r="E543" s="19"/>
      <c r="F543" s="19"/>
      <c r="G543" s="19"/>
      <c r="H543" s="19"/>
      <c r="I543" s="14"/>
      <c r="J543" s="14"/>
      <c r="K543" s="14"/>
      <c r="L543" s="14"/>
      <c r="M543" s="14"/>
    </row>
    <row r="544" spans="1:13" ht="12.5">
      <c r="A544" s="19"/>
      <c r="B544" s="19"/>
      <c r="C544" s="19"/>
      <c r="D544" s="19"/>
      <c r="E544" s="19"/>
      <c r="F544" s="19"/>
      <c r="G544" s="19"/>
      <c r="H544" s="19"/>
      <c r="I544" s="14"/>
      <c r="J544" s="14"/>
      <c r="K544" s="14"/>
      <c r="L544" s="14"/>
      <c r="M544" s="14"/>
    </row>
    <row r="545" spans="1:13" ht="12.5">
      <c r="A545" s="19"/>
      <c r="B545" s="19"/>
      <c r="C545" s="19"/>
      <c r="D545" s="19"/>
      <c r="E545" s="19"/>
      <c r="F545" s="19"/>
      <c r="G545" s="19"/>
      <c r="H545" s="19"/>
      <c r="I545" s="14"/>
      <c r="J545" s="14"/>
      <c r="K545" s="14"/>
      <c r="L545" s="14"/>
      <c r="M545" s="14"/>
    </row>
    <row r="546" spans="1:13" ht="12.5">
      <c r="A546" s="19"/>
      <c r="B546" s="19"/>
      <c r="C546" s="19"/>
      <c r="D546" s="19"/>
      <c r="E546" s="19"/>
      <c r="F546" s="19"/>
      <c r="G546" s="19"/>
      <c r="H546" s="19"/>
      <c r="I546" s="14"/>
      <c r="J546" s="14"/>
      <c r="K546" s="14"/>
      <c r="L546" s="14"/>
      <c r="M546" s="14"/>
    </row>
    <row r="547" spans="1:13" ht="12.5">
      <c r="A547" s="19"/>
      <c r="B547" s="19"/>
      <c r="C547" s="19"/>
      <c r="D547" s="19"/>
      <c r="E547" s="19"/>
      <c r="F547" s="19"/>
      <c r="G547" s="19"/>
      <c r="H547" s="19"/>
      <c r="I547" s="14"/>
      <c r="J547" s="14"/>
      <c r="K547" s="14"/>
      <c r="L547" s="14"/>
      <c r="M547" s="14"/>
    </row>
    <row r="548" spans="1:13" ht="12.5">
      <c r="A548" s="19"/>
      <c r="B548" s="19"/>
      <c r="C548" s="19"/>
      <c r="D548" s="19"/>
      <c r="E548" s="19"/>
      <c r="F548" s="19"/>
      <c r="G548" s="19"/>
      <c r="H548" s="19"/>
      <c r="I548" s="14"/>
      <c r="J548" s="14"/>
      <c r="K548" s="14"/>
      <c r="L548" s="14"/>
      <c r="M548" s="14"/>
    </row>
    <row r="549" spans="1:13" ht="12.5">
      <c r="A549" s="19"/>
      <c r="B549" s="19"/>
      <c r="C549" s="19"/>
      <c r="D549" s="19"/>
      <c r="E549" s="19"/>
      <c r="F549" s="19"/>
      <c r="G549" s="19"/>
      <c r="H549" s="19"/>
      <c r="I549" s="14"/>
      <c r="J549" s="14"/>
      <c r="K549" s="14"/>
      <c r="L549" s="14"/>
      <c r="M549" s="14"/>
    </row>
    <row r="550" spans="1:13" ht="12.5">
      <c r="A550" s="19"/>
      <c r="B550" s="19"/>
      <c r="C550" s="19"/>
      <c r="D550" s="19"/>
      <c r="E550" s="19"/>
      <c r="F550" s="19"/>
      <c r="G550" s="19"/>
      <c r="H550" s="19"/>
      <c r="I550" s="14"/>
      <c r="J550" s="14"/>
      <c r="K550" s="14"/>
      <c r="L550" s="14"/>
      <c r="M550" s="14"/>
    </row>
    <row r="551" spans="1:13" ht="12.5">
      <c r="A551" s="19"/>
      <c r="B551" s="19"/>
      <c r="C551" s="19"/>
      <c r="D551" s="19"/>
      <c r="E551" s="19"/>
      <c r="F551" s="19"/>
      <c r="G551" s="19"/>
      <c r="H551" s="19"/>
      <c r="I551" s="14"/>
      <c r="J551" s="14"/>
      <c r="K551" s="14"/>
      <c r="L551" s="14"/>
      <c r="M551" s="14"/>
    </row>
    <row r="552" spans="1:13" ht="12.5">
      <c r="A552" s="19"/>
      <c r="B552" s="19"/>
      <c r="C552" s="19"/>
      <c r="D552" s="19"/>
      <c r="E552" s="19"/>
      <c r="F552" s="19"/>
      <c r="G552" s="19"/>
      <c r="H552" s="19"/>
      <c r="I552" s="14"/>
      <c r="J552" s="14"/>
      <c r="K552" s="14"/>
      <c r="L552" s="14"/>
      <c r="M552" s="14"/>
    </row>
    <row r="553" spans="1:13" ht="12.5">
      <c r="A553" s="19"/>
      <c r="B553" s="19"/>
      <c r="C553" s="19"/>
      <c r="D553" s="19"/>
      <c r="E553" s="19"/>
      <c r="F553" s="19"/>
      <c r="G553" s="19"/>
      <c r="H553" s="19"/>
      <c r="I553" s="14"/>
      <c r="J553" s="14"/>
      <c r="K553" s="14"/>
      <c r="L553" s="14"/>
      <c r="M553" s="14"/>
    </row>
    <row r="554" spans="1:13" ht="12.5">
      <c r="A554" s="19"/>
      <c r="B554" s="19"/>
      <c r="C554" s="19"/>
      <c r="D554" s="19"/>
      <c r="E554" s="19"/>
      <c r="F554" s="19"/>
      <c r="G554" s="19"/>
      <c r="H554" s="19"/>
      <c r="I554" s="14"/>
      <c r="J554" s="14"/>
      <c r="K554" s="14"/>
      <c r="L554" s="14"/>
      <c r="M554" s="14"/>
    </row>
    <row r="555" spans="1:13" ht="12.5">
      <c r="A555" s="19"/>
      <c r="B555" s="19"/>
      <c r="C555" s="19"/>
      <c r="D555" s="19"/>
      <c r="E555" s="19"/>
      <c r="F555" s="19"/>
      <c r="G555" s="19"/>
      <c r="H555" s="19"/>
      <c r="I555" s="14"/>
      <c r="J555" s="14"/>
      <c r="K555" s="14"/>
      <c r="L555" s="14"/>
      <c r="M555" s="14"/>
    </row>
    <row r="556" spans="1:13" ht="12.5">
      <c r="A556" s="19"/>
      <c r="B556" s="19"/>
      <c r="C556" s="19"/>
      <c r="D556" s="19"/>
      <c r="E556" s="19"/>
      <c r="F556" s="19"/>
      <c r="G556" s="19"/>
      <c r="H556" s="19"/>
      <c r="I556" s="14"/>
      <c r="J556" s="14"/>
      <c r="K556" s="14"/>
      <c r="L556" s="14"/>
      <c r="M556" s="14"/>
    </row>
    <row r="557" spans="1:13" ht="12.5">
      <c r="A557" s="19"/>
      <c r="B557" s="19"/>
      <c r="C557" s="19"/>
      <c r="D557" s="19"/>
      <c r="E557" s="19"/>
      <c r="F557" s="19"/>
      <c r="G557" s="19"/>
      <c r="H557" s="19"/>
      <c r="I557" s="14"/>
      <c r="J557" s="14"/>
      <c r="K557" s="14"/>
      <c r="L557" s="14"/>
      <c r="M557" s="14"/>
    </row>
    <row r="558" spans="1:13" ht="12.5">
      <c r="A558" s="19"/>
      <c r="B558" s="19"/>
      <c r="C558" s="19"/>
      <c r="D558" s="19"/>
      <c r="E558" s="19"/>
      <c r="F558" s="19"/>
      <c r="G558" s="19"/>
      <c r="H558" s="19"/>
      <c r="I558" s="14"/>
      <c r="J558" s="14"/>
      <c r="K558" s="14"/>
      <c r="L558" s="14"/>
      <c r="M558" s="14"/>
    </row>
    <row r="559" spans="1:13" ht="12.5">
      <c r="A559" s="19"/>
      <c r="B559" s="19"/>
      <c r="C559" s="19"/>
      <c r="D559" s="19"/>
      <c r="E559" s="19"/>
      <c r="F559" s="19"/>
      <c r="G559" s="19"/>
      <c r="H559" s="19"/>
      <c r="I559" s="14"/>
      <c r="J559" s="14"/>
      <c r="K559" s="14"/>
      <c r="L559" s="14"/>
      <c r="M559" s="14"/>
    </row>
    <row r="560" spans="1:13" ht="12.5">
      <c r="A560" s="19"/>
      <c r="B560" s="19"/>
      <c r="C560" s="19"/>
      <c r="D560" s="19"/>
      <c r="E560" s="19"/>
      <c r="F560" s="19"/>
      <c r="G560" s="19"/>
      <c r="H560" s="19"/>
      <c r="I560" s="14"/>
      <c r="J560" s="14"/>
      <c r="K560" s="14"/>
      <c r="L560" s="14"/>
      <c r="M560" s="14"/>
    </row>
    <row r="561" spans="1:13" ht="12.5">
      <c r="A561" s="19"/>
      <c r="B561" s="19"/>
      <c r="C561" s="19"/>
      <c r="D561" s="19"/>
      <c r="E561" s="19"/>
      <c r="F561" s="19"/>
      <c r="G561" s="19"/>
      <c r="H561" s="19"/>
      <c r="I561" s="14"/>
      <c r="J561" s="14"/>
      <c r="K561" s="14"/>
      <c r="L561" s="14"/>
      <c r="M561" s="14"/>
    </row>
    <row r="562" spans="1:13" ht="12.5">
      <c r="A562" s="19"/>
      <c r="B562" s="19"/>
      <c r="C562" s="19"/>
      <c r="D562" s="19"/>
      <c r="E562" s="19"/>
      <c r="F562" s="19"/>
      <c r="G562" s="19"/>
      <c r="H562" s="19"/>
      <c r="I562" s="14"/>
      <c r="J562" s="14"/>
      <c r="K562" s="14"/>
      <c r="L562" s="14"/>
      <c r="M562" s="14"/>
    </row>
    <row r="563" spans="1:13" ht="12.5">
      <c r="A563" s="19"/>
      <c r="B563" s="19"/>
      <c r="C563" s="19"/>
      <c r="D563" s="19"/>
      <c r="E563" s="19"/>
      <c r="F563" s="19"/>
      <c r="G563" s="19"/>
      <c r="H563" s="19"/>
      <c r="I563" s="14"/>
      <c r="J563" s="14"/>
      <c r="K563" s="14"/>
      <c r="L563" s="14"/>
      <c r="M563" s="14"/>
    </row>
    <row r="564" spans="1:13" ht="12.5">
      <c r="A564" s="19"/>
      <c r="B564" s="19"/>
      <c r="C564" s="19"/>
      <c r="D564" s="19"/>
      <c r="E564" s="19"/>
      <c r="F564" s="19"/>
      <c r="G564" s="19"/>
      <c r="H564" s="19"/>
      <c r="I564" s="14"/>
      <c r="J564" s="14"/>
      <c r="K564" s="14"/>
      <c r="L564" s="14"/>
      <c r="M564" s="14"/>
    </row>
    <row r="565" spans="1:13" ht="12.5">
      <c r="A565" s="19"/>
      <c r="B565" s="19"/>
      <c r="C565" s="19"/>
      <c r="D565" s="19"/>
      <c r="E565" s="19"/>
      <c r="F565" s="19"/>
      <c r="G565" s="19"/>
      <c r="H565" s="19"/>
      <c r="I565" s="14"/>
      <c r="J565" s="14"/>
      <c r="K565" s="14"/>
      <c r="L565" s="14"/>
      <c r="M565" s="14"/>
    </row>
    <row r="566" spans="1:13" ht="12.5">
      <c r="A566" s="19"/>
      <c r="B566" s="19"/>
      <c r="C566" s="19"/>
      <c r="D566" s="19"/>
      <c r="E566" s="19"/>
      <c r="F566" s="19"/>
      <c r="G566" s="19"/>
      <c r="H566" s="19"/>
      <c r="I566" s="14"/>
      <c r="J566" s="14"/>
      <c r="K566" s="14"/>
      <c r="L566" s="14"/>
      <c r="M566" s="14"/>
    </row>
    <row r="567" spans="1:13" ht="12.5">
      <c r="A567" s="19"/>
      <c r="B567" s="19"/>
      <c r="C567" s="19"/>
      <c r="D567" s="19"/>
      <c r="E567" s="19"/>
      <c r="F567" s="19"/>
      <c r="G567" s="19"/>
      <c r="H567" s="19"/>
      <c r="I567" s="14"/>
      <c r="J567" s="14"/>
      <c r="K567" s="14"/>
      <c r="L567" s="14"/>
      <c r="M567" s="14"/>
    </row>
    <row r="568" spans="1:13" ht="12.5">
      <c r="A568" s="19"/>
      <c r="B568" s="19"/>
      <c r="C568" s="19"/>
      <c r="D568" s="19"/>
      <c r="E568" s="19"/>
      <c r="F568" s="19"/>
      <c r="G568" s="19"/>
      <c r="H568" s="19"/>
      <c r="I568" s="14"/>
      <c r="J568" s="14"/>
      <c r="K568" s="14"/>
      <c r="L568" s="14"/>
      <c r="M568" s="14"/>
    </row>
    <row r="569" spans="1:13" ht="12.5">
      <c r="A569" s="19"/>
      <c r="B569" s="19"/>
      <c r="C569" s="19"/>
      <c r="D569" s="19"/>
      <c r="E569" s="19"/>
      <c r="F569" s="19"/>
      <c r="G569" s="19"/>
      <c r="H569" s="19"/>
      <c r="I569" s="14"/>
      <c r="J569" s="14"/>
      <c r="K569" s="14"/>
      <c r="L569" s="14"/>
      <c r="M569" s="14"/>
    </row>
    <row r="570" spans="1:13" ht="12.5">
      <c r="A570" s="19"/>
      <c r="B570" s="19"/>
      <c r="C570" s="19"/>
      <c r="D570" s="19"/>
      <c r="E570" s="19"/>
      <c r="F570" s="19"/>
      <c r="G570" s="19"/>
      <c r="H570" s="19"/>
      <c r="I570" s="14"/>
      <c r="J570" s="14"/>
      <c r="K570" s="14"/>
      <c r="L570" s="14"/>
      <c r="M570" s="14"/>
    </row>
    <row r="571" spans="1:13" ht="12.5">
      <c r="A571" s="19"/>
      <c r="B571" s="19"/>
      <c r="C571" s="19"/>
      <c r="D571" s="19"/>
      <c r="E571" s="19"/>
      <c r="F571" s="19"/>
      <c r="G571" s="19"/>
      <c r="H571" s="19"/>
      <c r="I571" s="14"/>
      <c r="J571" s="14"/>
      <c r="K571" s="14"/>
      <c r="L571" s="14"/>
      <c r="M571" s="14"/>
    </row>
    <row r="572" spans="1:13" ht="12.5">
      <c r="A572" s="19"/>
      <c r="B572" s="19"/>
      <c r="C572" s="19"/>
      <c r="D572" s="19"/>
      <c r="E572" s="19"/>
      <c r="F572" s="19"/>
      <c r="G572" s="19"/>
      <c r="H572" s="19"/>
      <c r="I572" s="14"/>
      <c r="J572" s="14"/>
      <c r="K572" s="14"/>
      <c r="L572" s="14"/>
      <c r="M572" s="14"/>
    </row>
    <row r="573" spans="1:13" ht="12.5">
      <c r="A573" s="19"/>
      <c r="B573" s="19"/>
      <c r="C573" s="19"/>
      <c r="D573" s="19"/>
      <c r="E573" s="19"/>
      <c r="F573" s="19"/>
      <c r="G573" s="19"/>
      <c r="H573" s="19"/>
      <c r="I573" s="14"/>
      <c r="J573" s="14"/>
      <c r="K573" s="14"/>
      <c r="L573" s="14"/>
      <c r="M573" s="14"/>
    </row>
    <row r="574" spans="1:13" ht="12.5">
      <c r="A574" s="19"/>
      <c r="B574" s="19"/>
      <c r="C574" s="19"/>
      <c r="D574" s="19"/>
      <c r="E574" s="19"/>
      <c r="F574" s="19"/>
      <c r="G574" s="19"/>
      <c r="H574" s="19"/>
      <c r="I574" s="14"/>
      <c r="J574" s="14"/>
      <c r="K574" s="14"/>
      <c r="L574" s="14"/>
      <c r="M574" s="14"/>
    </row>
    <row r="575" spans="1:13" ht="12.5">
      <c r="A575" s="19"/>
      <c r="B575" s="19"/>
      <c r="C575" s="19"/>
      <c r="D575" s="19"/>
      <c r="E575" s="19"/>
      <c r="F575" s="19"/>
      <c r="G575" s="19"/>
      <c r="H575" s="19"/>
      <c r="I575" s="14"/>
      <c r="J575" s="14"/>
      <c r="K575" s="14"/>
      <c r="L575" s="14"/>
      <c r="M575" s="14"/>
    </row>
    <row r="576" spans="1:13" ht="12.5">
      <c r="A576" s="19"/>
      <c r="B576" s="19"/>
      <c r="C576" s="19"/>
      <c r="D576" s="19"/>
      <c r="E576" s="19"/>
      <c r="F576" s="19"/>
      <c r="G576" s="19"/>
      <c r="H576" s="19"/>
      <c r="I576" s="14"/>
      <c r="J576" s="14"/>
      <c r="K576" s="14"/>
      <c r="L576" s="14"/>
      <c r="M576" s="14"/>
    </row>
    <row r="577" spans="1:13" ht="12.5">
      <c r="A577" s="19"/>
      <c r="B577" s="19"/>
      <c r="C577" s="19"/>
      <c r="D577" s="19"/>
      <c r="E577" s="19"/>
      <c r="F577" s="19"/>
      <c r="G577" s="19"/>
      <c r="H577" s="19"/>
      <c r="I577" s="14"/>
      <c r="J577" s="14"/>
      <c r="K577" s="14"/>
      <c r="L577" s="14"/>
      <c r="M577" s="14"/>
    </row>
    <row r="578" spans="1:13" ht="12.5">
      <c r="A578" s="19"/>
      <c r="B578" s="19"/>
      <c r="C578" s="19"/>
      <c r="D578" s="19"/>
      <c r="E578" s="19"/>
      <c r="F578" s="19"/>
      <c r="G578" s="19"/>
      <c r="H578" s="19"/>
      <c r="I578" s="14"/>
      <c r="J578" s="14"/>
      <c r="K578" s="14"/>
      <c r="L578" s="14"/>
      <c r="M578" s="14"/>
    </row>
    <row r="579" spans="1:13" ht="12.5">
      <c r="A579" s="19"/>
      <c r="B579" s="19"/>
      <c r="C579" s="19"/>
      <c r="D579" s="19"/>
      <c r="E579" s="19"/>
      <c r="F579" s="19"/>
      <c r="G579" s="19"/>
      <c r="H579" s="19"/>
      <c r="I579" s="14"/>
      <c r="J579" s="14"/>
      <c r="K579" s="14"/>
      <c r="L579" s="14"/>
      <c r="M579" s="14"/>
    </row>
    <row r="580" spans="1:13" ht="12.5">
      <c r="A580" s="19"/>
      <c r="B580" s="19"/>
      <c r="C580" s="19"/>
      <c r="D580" s="19"/>
      <c r="E580" s="19"/>
      <c r="F580" s="19"/>
      <c r="G580" s="19"/>
      <c r="H580" s="19"/>
      <c r="I580" s="14"/>
      <c r="J580" s="14"/>
      <c r="K580" s="14"/>
      <c r="L580" s="14"/>
      <c r="M580" s="14"/>
    </row>
    <row r="581" spans="1:13" ht="12.5">
      <c r="A581" s="19"/>
      <c r="B581" s="19"/>
      <c r="C581" s="19"/>
      <c r="D581" s="19"/>
      <c r="E581" s="19"/>
      <c r="F581" s="19"/>
      <c r="G581" s="19"/>
      <c r="H581" s="19"/>
      <c r="I581" s="14"/>
      <c r="J581" s="14"/>
      <c r="K581" s="14"/>
      <c r="L581" s="14"/>
      <c r="M581" s="14"/>
    </row>
    <row r="582" spans="1:13" ht="12.5">
      <c r="A582" s="19"/>
      <c r="B582" s="19"/>
      <c r="C582" s="19"/>
      <c r="D582" s="19"/>
      <c r="E582" s="19"/>
      <c r="F582" s="19"/>
      <c r="G582" s="19"/>
      <c r="H582" s="19"/>
      <c r="I582" s="14"/>
      <c r="J582" s="14"/>
      <c r="K582" s="14"/>
      <c r="L582" s="14"/>
      <c r="M582" s="14"/>
    </row>
    <row r="583" spans="1:13" ht="12.5">
      <c r="A583" s="19"/>
      <c r="B583" s="19"/>
      <c r="C583" s="19"/>
      <c r="D583" s="19"/>
      <c r="E583" s="19"/>
      <c r="F583" s="19"/>
      <c r="G583" s="19"/>
      <c r="H583" s="19"/>
      <c r="I583" s="14"/>
      <c r="J583" s="14"/>
      <c r="K583" s="14"/>
      <c r="L583" s="14"/>
      <c r="M583" s="14"/>
    </row>
    <row r="584" spans="1:13" ht="12.5">
      <c r="A584" s="19"/>
      <c r="B584" s="19"/>
      <c r="C584" s="19"/>
      <c r="D584" s="19"/>
      <c r="E584" s="19"/>
      <c r="F584" s="19"/>
      <c r="G584" s="19"/>
      <c r="H584" s="19"/>
      <c r="I584" s="14"/>
      <c r="J584" s="14"/>
      <c r="K584" s="14"/>
      <c r="L584" s="14"/>
      <c r="M584" s="14"/>
    </row>
    <row r="585" spans="1:13" ht="12.5">
      <c r="A585" s="19"/>
      <c r="B585" s="19"/>
      <c r="C585" s="19"/>
      <c r="D585" s="19"/>
      <c r="E585" s="19"/>
      <c r="F585" s="19"/>
      <c r="G585" s="19"/>
      <c r="H585" s="19"/>
      <c r="I585" s="14"/>
      <c r="J585" s="14"/>
      <c r="K585" s="14"/>
      <c r="L585" s="14"/>
      <c r="M585" s="14"/>
    </row>
    <row r="586" spans="1:13" ht="12.5">
      <c r="A586" s="19"/>
      <c r="B586" s="19"/>
      <c r="C586" s="19"/>
      <c r="D586" s="19"/>
      <c r="E586" s="19"/>
      <c r="F586" s="19"/>
      <c r="G586" s="19"/>
      <c r="H586" s="19"/>
      <c r="I586" s="14"/>
      <c r="J586" s="14"/>
      <c r="K586" s="14"/>
      <c r="L586" s="14"/>
      <c r="M586" s="14"/>
    </row>
    <row r="587" spans="1:13" ht="12.5">
      <c r="A587" s="19"/>
      <c r="B587" s="19"/>
      <c r="C587" s="19"/>
      <c r="D587" s="19"/>
      <c r="E587" s="19"/>
      <c r="F587" s="19"/>
      <c r="G587" s="19"/>
      <c r="H587" s="19"/>
      <c r="I587" s="14"/>
      <c r="J587" s="14"/>
      <c r="K587" s="14"/>
      <c r="L587" s="14"/>
      <c r="M587" s="14"/>
    </row>
    <row r="588" spans="1:13" ht="12.5">
      <c r="A588" s="19"/>
      <c r="B588" s="19"/>
      <c r="C588" s="19"/>
      <c r="D588" s="19"/>
      <c r="E588" s="19"/>
      <c r="F588" s="19"/>
      <c r="G588" s="19"/>
      <c r="H588" s="19"/>
      <c r="I588" s="14"/>
      <c r="J588" s="14"/>
      <c r="K588" s="14"/>
      <c r="L588" s="14"/>
      <c r="M588" s="14"/>
    </row>
    <row r="589" spans="1:13" ht="12.5">
      <c r="A589" s="19"/>
      <c r="B589" s="19"/>
      <c r="C589" s="19"/>
      <c r="D589" s="19"/>
      <c r="E589" s="19"/>
      <c r="F589" s="19"/>
      <c r="G589" s="19"/>
      <c r="H589" s="19"/>
      <c r="I589" s="14"/>
      <c r="J589" s="14"/>
      <c r="K589" s="14"/>
      <c r="L589" s="14"/>
      <c r="M589" s="14"/>
    </row>
    <row r="590" spans="1:13" ht="12.5">
      <c r="A590" s="19"/>
      <c r="B590" s="19"/>
      <c r="C590" s="19"/>
      <c r="D590" s="19"/>
      <c r="E590" s="19"/>
      <c r="F590" s="19"/>
      <c r="G590" s="19"/>
      <c r="H590" s="19"/>
      <c r="I590" s="14"/>
      <c r="J590" s="14"/>
      <c r="K590" s="14"/>
      <c r="L590" s="14"/>
      <c r="M590" s="14"/>
    </row>
    <row r="591" spans="1:13" ht="12.5">
      <c r="A591" s="19"/>
      <c r="B591" s="19"/>
      <c r="C591" s="19"/>
      <c r="D591" s="19"/>
      <c r="E591" s="19"/>
      <c r="F591" s="19"/>
      <c r="G591" s="19"/>
      <c r="H591" s="19"/>
      <c r="I591" s="14"/>
      <c r="J591" s="14"/>
      <c r="K591" s="14"/>
      <c r="L591" s="14"/>
      <c r="M591" s="14"/>
    </row>
    <row r="592" spans="1:13" ht="12.5">
      <c r="A592" s="19"/>
      <c r="B592" s="19"/>
      <c r="C592" s="19"/>
      <c r="D592" s="19"/>
      <c r="E592" s="19"/>
      <c r="F592" s="19"/>
      <c r="G592" s="19"/>
      <c r="H592" s="19"/>
      <c r="I592" s="14"/>
      <c r="J592" s="14"/>
      <c r="K592" s="14"/>
      <c r="L592" s="14"/>
      <c r="M592" s="14"/>
    </row>
    <row r="593" spans="1:13" ht="12.5">
      <c r="A593" s="19"/>
      <c r="B593" s="19"/>
      <c r="C593" s="19"/>
      <c r="D593" s="19"/>
      <c r="E593" s="19"/>
      <c r="F593" s="19"/>
      <c r="G593" s="19"/>
      <c r="H593" s="19"/>
      <c r="I593" s="14"/>
      <c r="J593" s="14"/>
      <c r="K593" s="14"/>
      <c r="L593" s="14"/>
      <c r="M593" s="14"/>
    </row>
    <row r="594" spans="1:13" ht="12.5">
      <c r="A594" s="19"/>
      <c r="B594" s="19"/>
      <c r="C594" s="19"/>
      <c r="D594" s="19"/>
      <c r="E594" s="19"/>
      <c r="F594" s="19"/>
      <c r="G594" s="19"/>
      <c r="H594" s="19"/>
      <c r="I594" s="14"/>
      <c r="J594" s="14"/>
      <c r="K594" s="14"/>
      <c r="L594" s="14"/>
      <c r="M594" s="14"/>
    </row>
    <row r="595" spans="1:13" ht="12.5">
      <c r="A595" s="19"/>
      <c r="B595" s="19"/>
      <c r="C595" s="19"/>
      <c r="D595" s="19"/>
      <c r="E595" s="19"/>
      <c r="F595" s="19"/>
      <c r="G595" s="19"/>
      <c r="H595" s="19"/>
      <c r="I595" s="14"/>
      <c r="J595" s="14"/>
      <c r="K595" s="14"/>
      <c r="L595" s="14"/>
      <c r="M595" s="14"/>
    </row>
    <row r="596" spans="1:13" ht="12.5">
      <c r="A596" s="19"/>
      <c r="B596" s="19"/>
      <c r="C596" s="19"/>
      <c r="D596" s="19"/>
      <c r="E596" s="19"/>
      <c r="F596" s="19"/>
      <c r="G596" s="19"/>
      <c r="H596" s="19"/>
      <c r="I596" s="14"/>
      <c r="J596" s="14"/>
      <c r="K596" s="14"/>
      <c r="L596" s="14"/>
      <c r="M596" s="14"/>
    </row>
    <row r="597" spans="1:13" ht="12.5">
      <c r="A597" s="19"/>
      <c r="B597" s="19"/>
      <c r="C597" s="19"/>
      <c r="D597" s="19"/>
      <c r="E597" s="19"/>
      <c r="F597" s="19"/>
      <c r="G597" s="19"/>
      <c r="H597" s="19"/>
      <c r="I597" s="14"/>
      <c r="J597" s="14"/>
      <c r="K597" s="14"/>
      <c r="L597" s="14"/>
      <c r="M597" s="14"/>
    </row>
    <row r="598" spans="1:13" ht="12.5">
      <c r="A598" s="19"/>
      <c r="B598" s="19"/>
      <c r="C598" s="19"/>
      <c r="D598" s="19"/>
      <c r="E598" s="19"/>
      <c r="F598" s="19"/>
      <c r="G598" s="19"/>
      <c r="H598" s="19"/>
      <c r="I598" s="14"/>
      <c r="J598" s="14"/>
      <c r="K598" s="14"/>
      <c r="L598" s="14"/>
      <c r="M598" s="14"/>
    </row>
    <row r="599" spans="1:13" ht="12.5">
      <c r="A599" s="19"/>
      <c r="B599" s="19"/>
      <c r="C599" s="19"/>
      <c r="D599" s="19"/>
      <c r="E599" s="19"/>
      <c r="F599" s="19"/>
      <c r="G599" s="19"/>
      <c r="H599" s="19"/>
      <c r="I599" s="14"/>
      <c r="J599" s="14"/>
      <c r="K599" s="14"/>
      <c r="L599" s="14"/>
      <c r="M599" s="14"/>
    </row>
    <row r="600" spans="1:13" ht="12.5">
      <c r="A600" s="19"/>
      <c r="B600" s="19"/>
      <c r="C600" s="19"/>
      <c r="D600" s="19"/>
      <c r="E600" s="19"/>
      <c r="F600" s="19"/>
      <c r="G600" s="19"/>
      <c r="H600" s="19"/>
      <c r="I600" s="14"/>
      <c r="J600" s="14"/>
      <c r="K600" s="14"/>
      <c r="L600" s="14"/>
      <c r="M600" s="14"/>
    </row>
    <row r="601" spans="1:13" ht="12.5">
      <c r="A601" s="19"/>
      <c r="B601" s="19"/>
      <c r="C601" s="19"/>
      <c r="D601" s="19"/>
      <c r="E601" s="19"/>
      <c r="F601" s="19"/>
      <c r="G601" s="19"/>
      <c r="H601" s="19"/>
      <c r="I601" s="14"/>
      <c r="J601" s="14"/>
      <c r="K601" s="14"/>
      <c r="L601" s="14"/>
      <c r="M601" s="14"/>
    </row>
    <row r="602" spans="1:13" ht="12.5">
      <c r="A602" s="19"/>
      <c r="B602" s="19"/>
      <c r="C602" s="19"/>
      <c r="D602" s="19"/>
      <c r="E602" s="19"/>
      <c r="F602" s="19"/>
      <c r="G602" s="19"/>
      <c r="H602" s="19"/>
      <c r="I602" s="14"/>
      <c r="J602" s="14"/>
      <c r="K602" s="14"/>
      <c r="L602" s="14"/>
      <c r="M602" s="14"/>
    </row>
    <row r="603" spans="1:13" ht="12.5">
      <c r="A603" s="19"/>
      <c r="B603" s="19"/>
      <c r="C603" s="19"/>
      <c r="D603" s="19"/>
      <c r="E603" s="19"/>
      <c r="F603" s="19"/>
      <c r="G603" s="19"/>
      <c r="H603" s="19"/>
      <c r="I603" s="14"/>
      <c r="J603" s="14"/>
      <c r="K603" s="14"/>
      <c r="L603" s="14"/>
      <c r="M603" s="14"/>
    </row>
    <row r="604" spans="1:13" ht="12.5">
      <c r="A604" s="19"/>
      <c r="B604" s="19"/>
      <c r="C604" s="19"/>
      <c r="D604" s="19"/>
      <c r="E604" s="19"/>
      <c r="F604" s="19"/>
      <c r="G604" s="19"/>
      <c r="H604" s="19"/>
      <c r="I604" s="14"/>
      <c r="J604" s="14"/>
      <c r="K604" s="14"/>
      <c r="L604" s="14"/>
      <c r="M604" s="14"/>
    </row>
    <row r="605" spans="1:13" ht="12.5">
      <c r="A605" s="19"/>
      <c r="B605" s="19"/>
      <c r="C605" s="19"/>
      <c r="D605" s="19"/>
      <c r="E605" s="19"/>
      <c r="F605" s="19"/>
      <c r="G605" s="19"/>
      <c r="H605" s="19"/>
      <c r="I605" s="14"/>
      <c r="J605" s="14"/>
      <c r="K605" s="14"/>
      <c r="L605" s="14"/>
      <c r="M605" s="14"/>
    </row>
    <row r="606" spans="1:13" ht="12.5">
      <c r="A606" s="19"/>
      <c r="B606" s="19"/>
      <c r="C606" s="19"/>
      <c r="D606" s="19"/>
      <c r="E606" s="19"/>
      <c r="F606" s="19"/>
      <c r="G606" s="19"/>
      <c r="H606" s="19"/>
      <c r="I606" s="14"/>
      <c r="J606" s="14"/>
      <c r="K606" s="14"/>
      <c r="L606" s="14"/>
      <c r="M606" s="14"/>
    </row>
    <row r="607" spans="1:13" ht="12.5">
      <c r="A607" s="19"/>
      <c r="B607" s="19"/>
      <c r="C607" s="19"/>
      <c r="D607" s="19"/>
      <c r="E607" s="19"/>
      <c r="F607" s="19"/>
      <c r="G607" s="19"/>
      <c r="H607" s="19"/>
      <c r="I607" s="14"/>
      <c r="J607" s="14"/>
      <c r="K607" s="14"/>
      <c r="L607" s="14"/>
      <c r="M607" s="14"/>
    </row>
    <row r="608" spans="1:13" ht="12.5">
      <c r="A608" s="19"/>
      <c r="B608" s="19"/>
      <c r="C608" s="19"/>
      <c r="D608" s="19"/>
      <c r="E608" s="19"/>
      <c r="F608" s="19"/>
      <c r="G608" s="19"/>
      <c r="H608" s="19"/>
      <c r="I608" s="14"/>
      <c r="J608" s="14"/>
      <c r="K608" s="14"/>
      <c r="L608" s="14"/>
      <c r="M608" s="14"/>
    </row>
    <row r="609" spans="1:13" ht="12.5">
      <c r="A609" s="19"/>
      <c r="B609" s="19"/>
      <c r="C609" s="19"/>
      <c r="D609" s="19"/>
      <c r="E609" s="19"/>
      <c r="F609" s="19"/>
      <c r="G609" s="19"/>
      <c r="H609" s="19"/>
      <c r="I609" s="14"/>
      <c r="J609" s="14"/>
      <c r="K609" s="14"/>
      <c r="L609" s="14"/>
      <c r="M609" s="14"/>
    </row>
    <row r="610" spans="1:13" ht="12.5">
      <c r="A610" s="19"/>
      <c r="B610" s="19"/>
      <c r="C610" s="19"/>
      <c r="D610" s="19"/>
      <c r="E610" s="19"/>
      <c r="F610" s="19"/>
      <c r="G610" s="19"/>
      <c r="H610" s="19"/>
      <c r="I610" s="14"/>
      <c r="J610" s="14"/>
      <c r="K610" s="14"/>
      <c r="L610" s="14"/>
      <c r="M610" s="14"/>
    </row>
    <row r="611" spans="1:13" ht="12.5">
      <c r="A611" s="19"/>
      <c r="B611" s="19"/>
      <c r="C611" s="19"/>
      <c r="D611" s="19"/>
      <c r="E611" s="19"/>
      <c r="F611" s="19"/>
      <c r="G611" s="19"/>
      <c r="H611" s="19"/>
      <c r="I611" s="14"/>
      <c r="J611" s="14"/>
      <c r="K611" s="14"/>
      <c r="L611" s="14"/>
      <c r="M611" s="14"/>
    </row>
    <row r="612" spans="1:13" ht="12.5">
      <c r="A612" s="19"/>
      <c r="B612" s="19"/>
      <c r="C612" s="19"/>
      <c r="D612" s="19"/>
      <c r="E612" s="19"/>
      <c r="F612" s="19"/>
      <c r="G612" s="19"/>
      <c r="H612" s="19"/>
      <c r="I612" s="14"/>
      <c r="J612" s="14"/>
      <c r="K612" s="14"/>
      <c r="L612" s="14"/>
      <c r="M612" s="14"/>
    </row>
    <row r="613" spans="1:13" ht="12.5">
      <c r="A613" s="19"/>
      <c r="B613" s="19"/>
      <c r="C613" s="19"/>
      <c r="D613" s="19"/>
      <c r="E613" s="19"/>
      <c r="F613" s="19"/>
      <c r="G613" s="19"/>
      <c r="H613" s="19"/>
      <c r="I613" s="14"/>
      <c r="J613" s="14"/>
      <c r="K613" s="14"/>
      <c r="L613" s="14"/>
      <c r="M613" s="14"/>
    </row>
    <row r="614" spans="1:13" ht="12.5">
      <c r="A614" s="19"/>
      <c r="B614" s="19"/>
      <c r="C614" s="19"/>
      <c r="D614" s="19"/>
      <c r="E614" s="19"/>
      <c r="F614" s="19"/>
      <c r="G614" s="19"/>
      <c r="H614" s="19"/>
      <c r="I614" s="14"/>
      <c r="J614" s="14"/>
      <c r="K614" s="14"/>
      <c r="L614" s="14"/>
      <c r="M614" s="14"/>
    </row>
    <row r="615" spans="1:13" ht="12.5">
      <c r="A615" s="19"/>
      <c r="B615" s="19"/>
      <c r="C615" s="19"/>
      <c r="D615" s="19"/>
      <c r="E615" s="19"/>
      <c r="F615" s="19"/>
      <c r="G615" s="19"/>
      <c r="H615" s="19"/>
      <c r="I615" s="14"/>
      <c r="J615" s="14"/>
      <c r="K615" s="14"/>
      <c r="L615" s="14"/>
      <c r="M615" s="14"/>
    </row>
    <row r="616" spans="1:13" ht="12.5">
      <c r="A616" s="19"/>
      <c r="B616" s="19"/>
      <c r="C616" s="19"/>
      <c r="D616" s="19"/>
      <c r="E616" s="19"/>
      <c r="F616" s="19"/>
      <c r="G616" s="19"/>
      <c r="H616" s="19"/>
      <c r="I616" s="14"/>
      <c r="J616" s="14"/>
      <c r="K616" s="14"/>
      <c r="L616" s="14"/>
      <c r="M616" s="14"/>
    </row>
    <row r="617" spans="1:13" ht="12.5">
      <c r="A617" s="19"/>
      <c r="B617" s="19"/>
      <c r="C617" s="19"/>
      <c r="D617" s="19"/>
      <c r="E617" s="19"/>
      <c r="F617" s="19"/>
      <c r="G617" s="19"/>
      <c r="H617" s="19"/>
      <c r="I617" s="14"/>
      <c r="J617" s="14"/>
      <c r="K617" s="14"/>
      <c r="L617" s="14"/>
      <c r="M617" s="14"/>
    </row>
    <row r="618" spans="1:13" ht="12.5">
      <c r="A618" s="19"/>
      <c r="B618" s="19"/>
      <c r="C618" s="19"/>
      <c r="D618" s="19"/>
      <c r="E618" s="19"/>
      <c r="F618" s="19"/>
      <c r="G618" s="19"/>
      <c r="H618" s="19"/>
      <c r="I618" s="14"/>
      <c r="J618" s="14"/>
      <c r="K618" s="14"/>
      <c r="L618" s="14"/>
      <c r="M618" s="14"/>
    </row>
    <row r="619" spans="1:13" ht="12.5">
      <c r="A619" s="19"/>
      <c r="B619" s="19"/>
      <c r="C619" s="19"/>
      <c r="D619" s="19"/>
      <c r="E619" s="19"/>
      <c r="F619" s="19"/>
      <c r="G619" s="19"/>
      <c r="H619" s="19"/>
      <c r="I619" s="14"/>
      <c r="J619" s="14"/>
      <c r="K619" s="14"/>
      <c r="L619" s="14"/>
      <c r="M619" s="14"/>
    </row>
    <row r="620" spans="1:13" ht="12.5">
      <c r="A620" s="19"/>
      <c r="B620" s="19"/>
      <c r="C620" s="19"/>
      <c r="D620" s="19"/>
      <c r="E620" s="19"/>
      <c r="F620" s="19"/>
      <c r="G620" s="19"/>
      <c r="H620" s="19"/>
      <c r="I620" s="14"/>
      <c r="J620" s="14"/>
      <c r="K620" s="14"/>
      <c r="L620" s="14"/>
      <c r="M620" s="14"/>
    </row>
    <row r="621" spans="1:13" ht="12.5">
      <c r="A621" s="19"/>
      <c r="B621" s="19"/>
      <c r="C621" s="19"/>
      <c r="D621" s="19"/>
      <c r="E621" s="19"/>
      <c r="F621" s="19"/>
      <c r="G621" s="19"/>
      <c r="H621" s="19"/>
      <c r="I621" s="14"/>
      <c r="J621" s="14"/>
      <c r="K621" s="14"/>
      <c r="L621" s="14"/>
      <c r="M621" s="14"/>
    </row>
    <row r="622" spans="1:13" ht="12.5">
      <c r="A622" s="19"/>
      <c r="B622" s="19"/>
      <c r="C622" s="19"/>
      <c r="D622" s="19"/>
      <c r="E622" s="19"/>
      <c r="F622" s="19"/>
      <c r="G622" s="19"/>
      <c r="H622" s="19"/>
      <c r="I622" s="14"/>
      <c r="J622" s="14"/>
      <c r="K622" s="14"/>
      <c r="L622" s="14"/>
      <c r="M622" s="14"/>
    </row>
    <row r="623" spans="1:13" ht="12.5">
      <c r="A623" s="19"/>
      <c r="B623" s="19"/>
      <c r="C623" s="19"/>
      <c r="D623" s="19"/>
      <c r="E623" s="19"/>
      <c r="F623" s="19"/>
      <c r="G623" s="19"/>
      <c r="H623" s="19"/>
      <c r="I623" s="14"/>
      <c r="J623" s="14"/>
      <c r="K623" s="14"/>
      <c r="L623" s="14"/>
      <c r="M623" s="14"/>
    </row>
    <row r="624" spans="1:13" ht="12.5">
      <c r="A624" s="19"/>
      <c r="B624" s="19"/>
      <c r="C624" s="19"/>
      <c r="D624" s="19"/>
      <c r="E624" s="19"/>
      <c r="F624" s="19"/>
      <c r="G624" s="19"/>
      <c r="H624" s="19"/>
      <c r="I624" s="14"/>
      <c r="J624" s="14"/>
      <c r="K624" s="14"/>
      <c r="L624" s="14"/>
      <c r="M624" s="14"/>
    </row>
    <row r="625" spans="1:13" ht="12.5">
      <c r="A625" s="19"/>
      <c r="B625" s="19"/>
      <c r="C625" s="19"/>
      <c r="D625" s="19"/>
      <c r="E625" s="19"/>
      <c r="F625" s="19"/>
      <c r="G625" s="19"/>
      <c r="H625" s="19"/>
      <c r="I625" s="14"/>
      <c r="J625" s="14"/>
      <c r="K625" s="14"/>
      <c r="L625" s="14"/>
      <c r="M625" s="14"/>
    </row>
    <row r="626" spans="1:13" ht="12.5">
      <c r="A626" s="19"/>
      <c r="B626" s="19"/>
      <c r="C626" s="19"/>
      <c r="D626" s="19"/>
      <c r="E626" s="19"/>
      <c r="F626" s="19"/>
      <c r="G626" s="19"/>
      <c r="H626" s="19"/>
      <c r="I626" s="14"/>
      <c r="J626" s="14"/>
      <c r="K626" s="14"/>
      <c r="L626" s="14"/>
      <c r="M626" s="14"/>
    </row>
    <row r="627" spans="1:13" ht="12.5">
      <c r="A627" s="19"/>
      <c r="B627" s="19"/>
      <c r="C627" s="19"/>
      <c r="D627" s="19"/>
      <c r="E627" s="19"/>
      <c r="F627" s="19"/>
      <c r="G627" s="19"/>
      <c r="H627" s="19"/>
      <c r="I627" s="14"/>
      <c r="J627" s="14"/>
      <c r="K627" s="14"/>
      <c r="L627" s="14"/>
      <c r="M627" s="14"/>
    </row>
    <row r="628" spans="1:13" ht="12.5">
      <c r="A628" s="19"/>
      <c r="B628" s="19"/>
      <c r="C628" s="19"/>
      <c r="D628" s="19"/>
      <c r="E628" s="19"/>
      <c r="F628" s="19"/>
      <c r="G628" s="19"/>
      <c r="H628" s="19"/>
      <c r="I628" s="14"/>
      <c r="J628" s="14"/>
      <c r="K628" s="14"/>
      <c r="L628" s="14"/>
      <c r="M628" s="14"/>
    </row>
    <row r="629" spans="1:13" ht="12.5">
      <c r="A629" s="19"/>
      <c r="B629" s="19"/>
      <c r="C629" s="19"/>
      <c r="D629" s="19"/>
      <c r="E629" s="19"/>
      <c r="F629" s="19"/>
      <c r="G629" s="19"/>
      <c r="H629" s="19"/>
      <c r="I629" s="14"/>
      <c r="J629" s="14"/>
      <c r="K629" s="14"/>
      <c r="L629" s="14"/>
      <c r="M629" s="14"/>
    </row>
    <row r="630" spans="1:13" ht="12.5">
      <c r="A630" s="19"/>
      <c r="B630" s="19"/>
      <c r="C630" s="19"/>
      <c r="D630" s="19"/>
      <c r="E630" s="19"/>
      <c r="F630" s="19"/>
      <c r="G630" s="19"/>
      <c r="H630" s="19"/>
      <c r="I630" s="14"/>
      <c r="J630" s="14"/>
      <c r="K630" s="14"/>
      <c r="L630" s="14"/>
      <c r="M630" s="14"/>
    </row>
    <row r="631" spans="1:13" ht="12.5">
      <c r="A631" s="19"/>
      <c r="B631" s="19"/>
      <c r="C631" s="19"/>
      <c r="D631" s="19"/>
      <c r="E631" s="19"/>
      <c r="F631" s="19"/>
      <c r="G631" s="19"/>
      <c r="H631" s="19"/>
      <c r="I631" s="14"/>
      <c r="J631" s="14"/>
      <c r="K631" s="14"/>
      <c r="L631" s="14"/>
      <c r="M631" s="14"/>
    </row>
    <row r="632" spans="1:13" ht="12.5">
      <c r="A632" s="19"/>
      <c r="B632" s="19"/>
      <c r="C632" s="19"/>
      <c r="D632" s="19"/>
      <c r="E632" s="19"/>
      <c r="F632" s="19"/>
      <c r="G632" s="19"/>
      <c r="H632" s="19"/>
      <c r="I632" s="14"/>
      <c r="J632" s="14"/>
      <c r="K632" s="14"/>
      <c r="L632" s="14"/>
      <c r="M632" s="14"/>
    </row>
    <row r="633" spans="1:13" ht="12.5">
      <c r="A633" s="19"/>
      <c r="B633" s="19"/>
      <c r="C633" s="19"/>
      <c r="D633" s="19"/>
      <c r="E633" s="19"/>
      <c r="F633" s="19"/>
      <c r="G633" s="19"/>
      <c r="H633" s="19"/>
      <c r="I633" s="14"/>
      <c r="J633" s="14"/>
      <c r="K633" s="14"/>
      <c r="L633" s="14"/>
      <c r="M633" s="14"/>
    </row>
    <row r="634" spans="1:13" ht="12.5">
      <c r="A634" s="19"/>
      <c r="B634" s="19"/>
      <c r="C634" s="19"/>
      <c r="D634" s="19"/>
      <c r="E634" s="19"/>
      <c r="F634" s="19"/>
      <c r="G634" s="19"/>
      <c r="H634" s="19"/>
      <c r="I634" s="14"/>
      <c r="J634" s="14"/>
      <c r="K634" s="14"/>
      <c r="L634" s="14"/>
      <c r="M634" s="14"/>
    </row>
    <row r="635" spans="1:13" ht="12.5">
      <c r="A635" s="19"/>
      <c r="B635" s="19"/>
      <c r="C635" s="19"/>
      <c r="D635" s="19"/>
      <c r="E635" s="19"/>
      <c r="F635" s="19"/>
      <c r="G635" s="19"/>
      <c r="H635" s="19"/>
      <c r="I635" s="14"/>
      <c r="J635" s="14"/>
      <c r="K635" s="14"/>
      <c r="L635" s="14"/>
      <c r="M635" s="14"/>
    </row>
    <row r="636" spans="1:13" ht="12.5">
      <c r="A636" s="19"/>
      <c r="B636" s="19"/>
      <c r="C636" s="19"/>
      <c r="D636" s="19"/>
      <c r="E636" s="19"/>
      <c r="F636" s="19"/>
      <c r="G636" s="19"/>
      <c r="H636" s="19"/>
      <c r="I636" s="14"/>
      <c r="J636" s="14"/>
      <c r="K636" s="14"/>
      <c r="L636" s="14"/>
      <c r="M636" s="14"/>
    </row>
    <row r="637" spans="1:13" ht="12.5">
      <c r="A637" s="19"/>
      <c r="B637" s="19"/>
      <c r="C637" s="19"/>
      <c r="D637" s="19"/>
      <c r="E637" s="19"/>
      <c r="F637" s="19"/>
      <c r="G637" s="19"/>
      <c r="H637" s="19"/>
      <c r="I637" s="14"/>
      <c r="J637" s="14"/>
      <c r="K637" s="14"/>
      <c r="L637" s="14"/>
      <c r="M637" s="14"/>
    </row>
    <row r="638" spans="1:13" ht="12.5">
      <c r="A638" s="19"/>
      <c r="B638" s="19"/>
      <c r="C638" s="19"/>
      <c r="D638" s="19"/>
      <c r="E638" s="19"/>
      <c r="F638" s="19"/>
      <c r="G638" s="19"/>
      <c r="H638" s="19"/>
      <c r="I638" s="14"/>
      <c r="J638" s="14"/>
      <c r="K638" s="14"/>
      <c r="L638" s="14"/>
      <c r="M638" s="14"/>
    </row>
    <row r="639" spans="1:13" ht="12.5">
      <c r="A639" s="19"/>
      <c r="B639" s="19"/>
      <c r="C639" s="19"/>
      <c r="D639" s="19"/>
      <c r="E639" s="19"/>
      <c r="F639" s="19"/>
      <c r="G639" s="19"/>
      <c r="H639" s="19"/>
      <c r="I639" s="14"/>
      <c r="J639" s="14"/>
      <c r="K639" s="14"/>
      <c r="L639" s="14"/>
      <c r="M639" s="14"/>
    </row>
    <row r="640" spans="1:13" ht="12.5">
      <c r="A640" s="19"/>
      <c r="B640" s="19"/>
      <c r="C640" s="19"/>
      <c r="D640" s="19"/>
      <c r="E640" s="19"/>
      <c r="F640" s="19"/>
      <c r="G640" s="19"/>
      <c r="H640" s="19"/>
      <c r="I640" s="14"/>
      <c r="J640" s="14"/>
      <c r="K640" s="14"/>
      <c r="L640" s="14"/>
      <c r="M640" s="14"/>
    </row>
    <row r="641" spans="1:13" ht="12.5">
      <c r="A641" s="19"/>
      <c r="B641" s="19"/>
      <c r="C641" s="19"/>
      <c r="D641" s="19"/>
      <c r="E641" s="19"/>
      <c r="F641" s="19"/>
      <c r="G641" s="19"/>
      <c r="H641" s="19"/>
      <c r="I641" s="14"/>
      <c r="J641" s="14"/>
      <c r="K641" s="14"/>
      <c r="L641" s="14"/>
      <c r="M641" s="14"/>
    </row>
    <row r="642" spans="1:13" ht="12.5">
      <c r="A642" s="19"/>
      <c r="B642" s="19"/>
      <c r="C642" s="19"/>
      <c r="D642" s="19"/>
      <c r="E642" s="19"/>
      <c r="F642" s="19"/>
      <c r="G642" s="19"/>
      <c r="H642" s="19"/>
      <c r="I642" s="14"/>
      <c r="J642" s="14"/>
      <c r="K642" s="14"/>
      <c r="L642" s="14"/>
      <c r="M642" s="14"/>
    </row>
    <row r="643" spans="1:13" ht="12.5">
      <c r="A643" s="19"/>
      <c r="B643" s="19"/>
      <c r="C643" s="19"/>
      <c r="D643" s="19"/>
      <c r="E643" s="19"/>
      <c r="F643" s="19"/>
      <c r="G643" s="19"/>
      <c r="H643" s="19"/>
      <c r="I643" s="14"/>
      <c r="J643" s="14"/>
      <c r="K643" s="14"/>
      <c r="L643" s="14"/>
      <c r="M643" s="14"/>
    </row>
    <row r="644" spans="1:13" ht="12.5">
      <c r="A644" s="19"/>
      <c r="B644" s="19"/>
      <c r="C644" s="19"/>
      <c r="D644" s="19"/>
      <c r="E644" s="19"/>
      <c r="F644" s="19"/>
      <c r="G644" s="19"/>
      <c r="H644" s="19"/>
      <c r="I644" s="14"/>
      <c r="J644" s="14"/>
      <c r="K644" s="14"/>
      <c r="L644" s="14"/>
      <c r="M644" s="14"/>
    </row>
    <row r="645" spans="1:13" ht="12.5">
      <c r="A645" s="19"/>
      <c r="B645" s="19"/>
      <c r="C645" s="19"/>
      <c r="D645" s="19"/>
      <c r="E645" s="19"/>
      <c r="F645" s="19"/>
      <c r="G645" s="19"/>
      <c r="H645" s="19"/>
      <c r="I645" s="14"/>
      <c r="J645" s="14"/>
      <c r="K645" s="14"/>
      <c r="L645" s="14"/>
      <c r="M645" s="14"/>
    </row>
    <row r="646" spans="1:13" ht="12.5">
      <c r="A646" s="19"/>
      <c r="B646" s="19"/>
      <c r="C646" s="19"/>
      <c r="D646" s="19"/>
      <c r="E646" s="19"/>
      <c r="F646" s="19"/>
      <c r="G646" s="19"/>
      <c r="H646" s="19"/>
      <c r="I646" s="14"/>
      <c r="J646" s="14"/>
      <c r="K646" s="14"/>
      <c r="L646" s="14"/>
      <c r="M646" s="14"/>
    </row>
    <row r="647" spans="1:13" ht="12.5">
      <c r="A647" s="19"/>
      <c r="B647" s="19"/>
      <c r="C647" s="19"/>
      <c r="D647" s="19"/>
      <c r="E647" s="19"/>
      <c r="F647" s="19"/>
      <c r="G647" s="19"/>
      <c r="H647" s="19"/>
      <c r="I647" s="14"/>
      <c r="J647" s="14"/>
      <c r="K647" s="14"/>
      <c r="L647" s="14"/>
      <c r="M647" s="14"/>
    </row>
    <row r="648" spans="1:13" ht="12.5">
      <c r="A648" s="19"/>
      <c r="B648" s="19"/>
      <c r="C648" s="19"/>
      <c r="D648" s="19"/>
      <c r="E648" s="19"/>
      <c r="F648" s="19"/>
      <c r="G648" s="19"/>
      <c r="H648" s="19"/>
      <c r="I648" s="14"/>
      <c r="J648" s="14"/>
      <c r="K648" s="14"/>
      <c r="L648" s="14"/>
      <c r="M648" s="14"/>
    </row>
    <row r="649" spans="1:13" ht="12.5">
      <c r="A649" s="19"/>
      <c r="B649" s="19"/>
      <c r="C649" s="19"/>
      <c r="D649" s="19"/>
      <c r="E649" s="19"/>
      <c r="F649" s="19"/>
      <c r="G649" s="19"/>
      <c r="H649" s="19"/>
      <c r="I649" s="14"/>
      <c r="J649" s="14"/>
      <c r="K649" s="14"/>
      <c r="L649" s="14"/>
      <c r="M649" s="14"/>
    </row>
    <row r="650" spans="1:13" ht="12.5">
      <c r="A650" s="19"/>
      <c r="B650" s="19"/>
      <c r="C650" s="19"/>
      <c r="D650" s="19"/>
      <c r="E650" s="19"/>
      <c r="F650" s="19"/>
      <c r="G650" s="19"/>
      <c r="H650" s="19"/>
      <c r="I650" s="14"/>
      <c r="J650" s="14"/>
      <c r="K650" s="14"/>
      <c r="L650" s="14"/>
      <c r="M650" s="14"/>
    </row>
    <row r="651" spans="1:13" ht="12.5">
      <c r="A651" s="19"/>
      <c r="B651" s="19"/>
      <c r="C651" s="19"/>
      <c r="D651" s="19"/>
      <c r="E651" s="19"/>
      <c r="F651" s="19"/>
      <c r="G651" s="19"/>
      <c r="H651" s="19"/>
      <c r="I651" s="14"/>
      <c r="J651" s="14"/>
      <c r="K651" s="14"/>
      <c r="L651" s="14"/>
      <c r="M651" s="14"/>
    </row>
    <row r="652" spans="1:13" ht="12.5">
      <c r="A652" s="19"/>
      <c r="B652" s="19"/>
      <c r="C652" s="19"/>
      <c r="D652" s="19"/>
      <c r="E652" s="19"/>
      <c r="F652" s="19"/>
      <c r="G652" s="19"/>
      <c r="H652" s="19"/>
      <c r="I652" s="14"/>
      <c r="J652" s="14"/>
      <c r="K652" s="14"/>
      <c r="L652" s="14"/>
      <c r="M652" s="14"/>
    </row>
    <row r="653" spans="1:13" ht="12.5">
      <c r="A653" s="19"/>
      <c r="B653" s="19"/>
      <c r="C653" s="19"/>
      <c r="D653" s="19"/>
      <c r="E653" s="19"/>
      <c r="F653" s="19"/>
      <c r="G653" s="19"/>
      <c r="H653" s="19"/>
      <c r="I653" s="14"/>
      <c r="J653" s="14"/>
      <c r="K653" s="14"/>
      <c r="L653" s="14"/>
      <c r="M653" s="14"/>
    </row>
    <row r="654" spans="1:13" ht="12.5">
      <c r="A654" s="19"/>
      <c r="B654" s="19"/>
      <c r="C654" s="19"/>
      <c r="D654" s="19"/>
      <c r="E654" s="19"/>
      <c r="F654" s="19"/>
      <c r="G654" s="19"/>
      <c r="H654" s="19"/>
      <c r="I654" s="14"/>
      <c r="J654" s="14"/>
      <c r="K654" s="14"/>
      <c r="L654" s="14"/>
      <c r="M654" s="14"/>
    </row>
    <row r="655" spans="1:13" ht="12.5">
      <c r="A655" s="19"/>
      <c r="B655" s="19"/>
      <c r="C655" s="19"/>
      <c r="D655" s="19"/>
      <c r="E655" s="19"/>
      <c r="F655" s="19"/>
      <c r="G655" s="19"/>
      <c r="H655" s="19"/>
      <c r="I655" s="14"/>
      <c r="J655" s="14"/>
      <c r="K655" s="14"/>
      <c r="L655" s="14"/>
      <c r="M655" s="14"/>
    </row>
    <row r="656" spans="1:13" ht="12.5">
      <c r="A656" s="19"/>
      <c r="B656" s="19"/>
      <c r="C656" s="19"/>
      <c r="D656" s="19"/>
      <c r="E656" s="19"/>
      <c r="F656" s="19"/>
      <c r="G656" s="19"/>
      <c r="H656" s="19"/>
      <c r="I656" s="14"/>
      <c r="J656" s="14"/>
      <c r="K656" s="14"/>
      <c r="L656" s="14"/>
      <c r="M656" s="14"/>
    </row>
    <row r="657" spans="1:13" ht="12.5">
      <c r="A657" s="19"/>
      <c r="B657" s="19"/>
      <c r="C657" s="19"/>
      <c r="D657" s="19"/>
      <c r="E657" s="19"/>
      <c r="F657" s="19"/>
      <c r="G657" s="19"/>
      <c r="H657" s="19"/>
      <c r="I657" s="14"/>
      <c r="J657" s="14"/>
      <c r="K657" s="14"/>
      <c r="L657" s="14"/>
      <c r="M657" s="14"/>
    </row>
    <row r="658" spans="1:13" ht="12.5">
      <c r="A658" s="19"/>
      <c r="B658" s="19"/>
      <c r="C658" s="19"/>
      <c r="D658" s="19"/>
      <c r="E658" s="19"/>
      <c r="F658" s="19"/>
      <c r="G658" s="19"/>
      <c r="H658" s="19"/>
      <c r="I658" s="14"/>
      <c r="J658" s="14"/>
      <c r="K658" s="14"/>
      <c r="L658" s="14"/>
      <c r="M658" s="14"/>
    </row>
    <row r="659" spans="1:13" ht="12.5">
      <c r="A659" s="19"/>
      <c r="B659" s="19"/>
      <c r="C659" s="19"/>
      <c r="D659" s="19"/>
      <c r="E659" s="19"/>
      <c r="F659" s="19"/>
      <c r="G659" s="19"/>
      <c r="H659" s="19"/>
      <c r="I659" s="14"/>
      <c r="J659" s="14"/>
      <c r="K659" s="14"/>
      <c r="L659" s="14"/>
      <c r="M659" s="14"/>
    </row>
    <row r="660" spans="1:13" ht="12.5">
      <c r="A660" s="19"/>
      <c r="B660" s="19"/>
      <c r="C660" s="19"/>
      <c r="D660" s="19"/>
      <c r="E660" s="19"/>
      <c r="F660" s="19"/>
      <c r="G660" s="19"/>
      <c r="H660" s="19"/>
      <c r="I660" s="14"/>
      <c r="J660" s="14"/>
      <c r="K660" s="14"/>
      <c r="L660" s="14"/>
      <c r="M660" s="14"/>
    </row>
    <row r="661" spans="1:13" ht="12.5">
      <c r="A661" s="19"/>
      <c r="B661" s="19"/>
      <c r="C661" s="19"/>
      <c r="D661" s="19"/>
      <c r="E661" s="19"/>
      <c r="F661" s="19"/>
      <c r="G661" s="19"/>
      <c r="H661" s="19"/>
      <c r="I661" s="14"/>
      <c r="J661" s="14"/>
      <c r="K661" s="14"/>
      <c r="L661" s="14"/>
      <c r="M661" s="14"/>
    </row>
    <row r="662" spans="1:13" ht="12.5">
      <c r="A662" s="19"/>
      <c r="B662" s="19"/>
      <c r="C662" s="19"/>
      <c r="D662" s="19"/>
      <c r="E662" s="19"/>
      <c r="F662" s="19"/>
      <c r="G662" s="19"/>
      <c r="H662" s="19"/>
      <c r="I662" s="14"/>
      <c r="J662" s="14"/>
      <c r="K662" s="14"/>
      <c r="L662" s="14"/>
      <c r="M662" s="14"/>
    </row>
    <row r="663" spans="1:13" ht="12.5">
      <c r="A663" s="19"/>
      <c r="B663" s="19"/>
      <c r="C663" s="19"/>
      <c r="D663" s="19"/>
      <c r="E663" s="19"/>
      <c r="F663" s="19"/>
      <c r="G663" s="19"/>
      <c r="H663" s="19"/>
      <c r="I663" s="14"/>
      <c r="J663" s="14"/>
      <c r="K663" s="14"/>
      <c r="L663" s="14"/>
      <c r="M663" s="14"/>
    </row>
    <row r="664" spans="1:13" ht="12.5">
      <c r="A664" s="19"/>
      <c r="B664" s="19"/>
      <c r="C664" s="19"/>
      <c r="D664" s="19"/>
      <c r="E664" s="19"/>
      <c r="F664" s="19"/>
      <c r="G664" s="19"/>
      <c r="H664" s="19"/>
      <c r="I664" s="14"/>
      <c r="J664" s="14"/>
      <c r="K664" s="14"/>
      <c r="L664" s="14"/>
      <c r="M664" s="14"/>
    </row>
    <row r="665" spans="1:13" ht="12.5">
      <c r="A665" s="19"/>
      <c r="B665" s="19"/>
      <c r="C665" s="19"/>
      <c r="D665" s="19"/>
      <c r="E665" s="19"/>
      <c r="F665" s="19"/>
      <c r="G665" s="19"/>
      <c r="H665" s="19"/>
      <c r="I665" s="14"/>
      <c r="J665" s="14"/>
      <c r="K665" s="14"/>
      <c r="L665" s="14"/>
      <c r="M665" s="14"/>
    </row>
    <row r="666" spans="1:13" ht="12.5">
      <c r="A666" s="19"/>
      <c r="B666" s="19"/>
      <c r="C666" s="19"/>
      <c r="D666" s="19"/>
      <c r="E666" s="19"/>
      <c r="F666" s="19"/>
      <c r="G666" s="19"/>
      <c r="H666" s="19"/>
      <c r="I666" s="14"/>
      <c r="J666" s="14"/>
      <c r="K666" s="14"/>
      <c r="L666" s="14"/>
      <c r="M666" s="14"/>
    </row>
    <row r="667" spans="1:13" ht="12.5">
      <c r="A667" s="19"/>
      <c r="B667" s="19"/>
      <c r="C667" s="19"/>
      <c r="D667" s="19"/>
      <c r="E667" s="19"/>
      <c r="F667" s="19"/>
      <c r="G667" s="19"/>
      <c r="H667" s="19"/>
      <c r="I667" s="14"/>
      <c r="J667" s="14"/>
      <c r="K667" s="14"/>
      <c r="L667" s="14"/>
      <c r="M667" s="14"/>
    </row>
    <row r="668" spans="1:13" ht="12.5">
      <c r="A668" s="19"/>
      <c r="B668" s="19"/>
      <c r="C668" s="19"/>
      <c r="D668" s="19"/>
      <c r="E668" s="19"/>
      <c r="F668" s="19"/>
      <c r="G668" s="19"/>
      <c r="H668" s="19"/>
      <c r="I668" s="14"/>
      <c r="J668" s="14"/>
      <c r="K668" s="14"/>
      <c r="L668" s="14"/>
      <c r="M668" s="14"/>
    </row>
    <row r="669" spans="1:13" ht="12.5">
      <c r="A669" s="19"/>
      <c r="B669" s="19"/>
      <c r="C669" s="19"/>
      <c r="D669" s="19"/>
      <c r="E669" s="19"/>
      <c r="F669" s="19"/>
      <c r="G669" s="19"/>
      <c r="H669" s="19"/>
      <c r="I669" s="14"/>
      <c r="J669" s="14"/>
      <c r="K669" s="14"/>
      <c r="L669" s="14"/>
      <c r="M669" s="14"/>
    </row>
    <row r="670" spans="1:13" ht="12.5">
      <c r="A670" s="19"/>
      <c r="B670" s="19"/>
      <c r="C670" s="19"/>
      <c r="D670" s="19"/>
      <c r="E670" s="19"/>
      <c r="F670" s="19"/>
      <c r="G670" s="19"/>
      <c r="H670" s="19"/>
      <c r="I670" s="14"/>
      <c r="J670" s="14"/>
      <c r="K670" s="14"/>
      <c r="L670" s="14"/>
      <c r="M670" s="14"/>
    </row>
    <row r="671" spans="1:13" ht="12.5">
      <c r="A671" s="19"/>
      <c r="B671" s="19"/>
      <c r="C671" s="19"/>
      <c r="D671" s="19"/>
      <c r="E671" s="19"/>
      <c r="F671" s="19"/>
      <c r="G671" s="19"/>
      <c r="H671" s="19"/>
      <c r="I671" s="14"/>
      <c r="J671" s="14"/>
      <c r="K671" s="14"/>
      <c r="L671" s="14"/>
      <c r="M671" s="14"/>
    </row>
    <row r="672" spans="1:13" ht="12.5">
      <c r="A672" s="19"/>
      <c r="B672" s="19"/>
      <c r="C672" s="19"/>
      <c r="D672" s="19"/>
      <c r="E672" s="19"/>
      <c r="F672" s="19"/>
      <c r="G672" s="19"/>
      <c r="H672" s="19"/>
      <c r="I672" s="14"/>
      <c r="J672" s="14"/>
      <c r="K672" s="14"/>
      <c r="L672" s="14"/>
      <c r="M672" s="14"/>
    </row>
    <row r="673" spans="1:13" ht="12.5">
      <c r="A673" s="19"/>
      <c r="B673" s="19"/>
      <c r="C673" s="19"/>
      <c r="D673" s="19"/>
      <c r="E673" s="19"/>
      <c r="F673" s="19"/>
      <c r="G673" s="19"/>
      <c r="H673" s="19"/>
      <c r="I673" s="14"/>
      <c r="J673" s="14"/>
      <c r="K673" s="14"/>
      <c r="L673" s="14"/>
      <c r="M673" s="14"/>
    </row>
    <row r="674" spans="1:13" ht="12.5">
      <c r="A674" s="19"/>
      <c r="B674" s="19"/>
      <c r="C674" s="19"/>
      <c r="D674" s="19"/>
      <c r="E674" s="19"/>
      <c r="F674" s="19"/>
      <c r="G674" s="19"/>
      <c r="H674" s="19"/>
      <c r="I674" s="14"/>
      <c r="J674" s="14"/>
      <c r="K674" s="14"/>
      <c r="L674" s="14"/>
      <c r="M674" s="14"/>
    </row>
    <row r="675" spans="1:13" ht="12.5">
      <c r="A675" s="19"/>
      <c r="B675" s="19"/>
      <c r="C675" s="19"/>
      <c r="D675" s="19"/>
      <c r="E675" s="19"/>
      <c r="F675" s="19"/>
      <c r="G675" s="19"/>
      <c r="H675" s="19"/>
      <c r="I675" s="14"/>
      <c r="J675" s="14"/>
      <c r="K675" s="14"/>
      <c r="L675" s="14"/>
      <c r="M675" s="14"/>
    </row>
    <row r="676" spans="1:13" ht="12.5">
      <c r="A676" s="19"/>
      <c r="B676" s="19"/>
      <c r="C676" s="19"/>
      <c r="D676" s="19"/>
      <c r="E676" s="19"/>
      <c r="F676" s="19"/>
      <c r="G676" s="19"/>
      <c r="H676" s="19"/>
      <c r="I676" s="14"/>
      <c r="J676" s="14"/>
      <c r="K676" s="14"/>
      <c r="L676" s="14"/>
      <c r="M676" s="14"/>
    </row>
    <row r="677" spans="1:13" ht="12.5">
      <c r="A677" s="19"/>
      <c r="B677" s="19"/>
      <c r="C677" s="19"/>
      <c r="D677" s="19"/>
      <c r="E677" s="19"/>
      <c r="F677" s="19"/>
      <c r="G677" s="19"/>
      <c r="H677" s="19"/>
      <c r="I677" s="14"/>
      <c r="J677" s="14"/>
      <c r="K677" s="14"/>
      <c r="L677" s="14"/>
      <c r="M677" s="14"/>
    </row>
    <row r="678" spans="1:13" ht="12.5">
      <c r="A678" s="19"/>
      <c r="B678" s="19"/>
      <c r="C678" s="19"/>
      <c r="D678" s="19"/>
      <c r="E678" s="19"/>
      <c r="F678" s="19"/>
      <c r="G678" s="19"/>
      <c r="H678" s="19"/>
      <c r="I678" s="14"/>
      <c r="J678" s="14"/>
      <c r="K678" s="14"/>
      <c r="L678" s="14"/>
      <c r="M678" s="14"/>
    </row>
    <row r="679" spans="1:13" ht="12.5">
      <c r="A679" s="19"/>
      <c r="B679" s="19"/>
      <c r="C679" s="19"/>
      <c r="D679" s="19"/>
      <c r="E679" s="19"/>
      <c r="F679" s="19"/>
      <c r="G679" s="19"/>
      <c r="H679" s="19"/>
      <c r="I679" s="14"/>
      <c r="J679" s="14"/>
      <c r="K679" s="14"/>
      <c r="L679" s="14"/>
      <c r="M679" s="14"/>
    </row>
    <row r="680" spans="1:13" ht="12.5">
      <c r="A680" s="19"/>
      <c r="B680" s="19"/>
      <c r="C680" s="19"/>
      <c r="D680" s="19"/>
      <c r="E680" s="19"/>
      <c r="F680" s="19"/>
      <c r="G680" s="19"/>
      <c r="H680" s="19"/>
      <c r="I680" s="14"/>
      <c r="J680" s="14"/>
      <c r="K680" s="14"/>
      <c r="L680" s="14"/>
      <c r="M680" s="14"/>
    </row>
    <row r="681" spans="1:13" ht="12.5">
      <c r="A681" s="19"/>
      <c r="B681" s="19"/>
      <c r="C681" s="19"/>
      <c r="D681" s="19"/>
      <c r="E681" s="19"/>
      <c r="F681" s="19"/>
      <c r="G681" s="19"/>
      <c r="H681" s="19"/>
      <c r="I681" s="14"/>
      <c r="J681" s="14"/>
      <c r="K681" s="14"/>
      <c r="L681" s="14"/>
      <c r="M681" s="14"/>
    </row>
    <row r="682" spans="1:13" ht="12.5">
      <c r="A682" s="19"/>
      <c r="B682" s="19"/>
      <c r="C682" s="19"/>
      <c r="D682" s="19"/>
      <c r="E682" s="19"/>
      <c r="F682" s="19"/>
      <c r="G682" s="19"/>
      <c r="H682" s="19"/>
      <c r="I682" s="14"/>
      <c r="J682" s="14"/>
      <c r="K682" s="14"/>
      <c r="L682" s="14"/>
      <c r="M682" s="14"/>
    </row>
    <row r="683" spans="1:13" ht="12.5">
      <c r="A683" s="19"/>
      <c r="B683" s="19"/>
      <c r="C683" s="19"/>
      <c r="D683" s="19"/>
      <c r="E683" s="19"/>
      <c r="F683" s="19"/>
      <c r="G683" s="19"/>
      <c r="H683" s="19"/>
      <c r="I683" s="14"/>
      <c r="J683" s="14"/>
      <c r="K683" s="14"/>
      <c r="L683" s="14"/>
      <c r="M683" s="14"/>
    </row>
    <row r="684" spans="1:13" ht="12.5">
      <c r="A684" s="19"/>
      <c r="B684" s="19"/>
      <c r="C684" s="19"/>
      <c r="D684" s="19"/>
      <c r="E684" s="19"/>
      <c r="F684" s="19"/>
      <c r="G684" s="19"/>
      <c r="H684" s="19"/>
      <c r="I684" s="14"/>
      <c r="J684" s="14"/>
      <c r="K684" s="14"/>
      <c r="L684" s="14"/>
      <c r="M684" s="14"/>
    </row>
    <row r="685" spans="1:13" ht="12.5">
      <c r="A685" s="19"/>
      <c r="B685" s="19"/>
      <c r="C685" s="19"/>
      <c r="D685" s="19"/>
      <c r="E685" s="19"/>
      <c r="F685" s="19"/>
      <c r="G685" s="19"/>
      <c r="H685" s="19"/>
      <c r="I685" s="14"/>
      <c r="J685" s="14"/>
      <c r="K685" s="14"/>
      <c r="L685" s="14"/>
      <c r="M685" s="14"/>
    </row>
    <row r="686" spans="1:13" ht="12.5">
      <c r="A686" s="19"/>
      <c r="B686" s="19"/>
      <c r="C686" s="19"/>
      <c r="D686" s="19"/>
      <c r="E686" s="19"/>
      <c r="F686" s="19"/>
      <c r="G686" s="19"/>
      <c r="H686" s="19"/>
      <c r="I686" s="14"/>
      <c r="J686" s="14"/>
      <c r="K686" s="14"/>
      <c r="L686" s="14"/>
      <c r="M686" s="14"/>
    </row>
    <row r="687" spans="1:13" ht="12.5">
      <c r="A687" s="19"/>
      <c r="B687" s="19"/>
      <c r="C687" s="19"/>
      <c r="D687" s="19"/>
      <c r="E687" s="19"/>
      <c r="F687" s="19"/>
      <c r="G687" s="19"/>
      <c r="H687" s="19"/>
      <c r="I687" s="14"/>
      <c r="J687" s="14"/>
      <c r="K687" s="14"/>
      <c r="L687" s="14"/>
      <c r="M687" s="14"/>
    </row>
    <row r="688" spans="1:13" ht="12.5">
      <c r="A688" s="19"/>
      <c r="B688" s="19"/>
      <c r="C688" s="19"/>
      <c r="D688" s="19"/>
      <c r="E688" s="19"/>
      <c r="F688" s="19"/>
      <c r="G688" s="19"/>
      <c r="H688" s="19"/>
      <c r="I688" s="14"/>
      <c r="J688" s="14"/>
      <c r="K688" s="14"/>
      <c r="L688" s="14"/>
      <c r="M688" s="14"/>
    </row>
    <row r="689" spans="1:13" ht="12.5">
      <c r="A689" s="19"/>
      <c r="B689" s="19"/>
      <c r="C689" s="19"/>
      <c r="D689" s="19"/>
      <c r="E689" s="19"/>
      <c r="F689" s="19"/>
      <c r="G689" s="19"/>
      <c r="H689" s="19"/>
      <c r="I689" s="14"/>
      <c r="J689" s="14"/>
      <c r="K689" s="14"/>
      <c r="L689" s="14"/>
      <c r="M689" s="14"/>
    </row>
    <row r="690" spans="1:13" ht="12.5">
      <c r="A690" s="19"/>
      <c r="B690" s="19"/>
      <c r="C690" s="19"/>
      <c r="D690" s="19"/>
      <c r="E690" s="19"/>
      <c r="F690" s="19"/>
      <c r="G690" s="19"/>
      <c r="H690" s="19"/>
      <c r="I690" s="14"/>
      <c r="J690" s="14"/>
      <c r="K690" s="14"/>
      <c r="L690" s="14"/>
      <c r="M690" s="14"/>
    </row>
    <row r="691" spans="1:13" ht="12.5">
      <c r="A691" s="19"/>
      <c r="B691" s="19"/>
      <c r="C691" s="19"/>
      <c r="D691" s="19"/>
      <c r="E691" s="19"/>
      <c r="F691" s="19"/>
      <c r="G691" s="19"/>
      <c r="H691" s="19"/>
      <c r="I691" s="14"/>
      <c r="J691" s="14"/>
      <c r="K691" s="14"/>
      <c r="L691" s="14"/>
      <c r="M691" s="14"/>
    </row>
    <row r="692" spans="1:13" ht="12.5">
      <c r="A692" s="19"/>
      <c r="B692" s="19"/>
      <c r="C692" s="19"/>
      <c r="D692" s="19"/>
      <c r="E692" s="19"/>
      <c r="F692" s="19"/>
      <c r="G692" s="19"/>
      <c r="H692" s="19"/>
      <c r="I692" s="14"/>
      <c r="J692" s="14"/>
      <c r="K692" s="14"/>
      <c r="L692" s="14"/>
      <c r="M692" s="14"/>
    </row>
    <row r="693" spans="1:13" ht="12.5">
      <c r="A693" s="19"/>
      <c r="B693" s="19"/>
      <c r="C693" s="19"/>
      <c r="D693" s="19"/>
      <c r="E693" s="19"/>
      <c r="F693" s="19"/>
      <c r="G693" s="19"/>
      <c r="H693" s="19"/>
      <c r="I693" s="14"/>
      <c r="J693" s="14"/>
      <c r="K693" s="14"/>
      <c r="L693" s="14"/>
      <c r="M693" s="14"/>
    </row>
    <row r="694" spans="1:13" ht="12.5">
      <c r="A694" s="19"/>
      <c r="B694" s="19"/>
      <c r="C694" s="19"/>
      <c r="D694" s="19"/>
      <c r="E694" s="19"/>
      <c r="F694" s="19"/>
      <c r="G694" s="19"/>
      <c r="H694" s="19"/>
      <c r="I694" s="14"/>
      <c r="J694" s="14"/>
      <c r="K694" s="14"/>
      <c r="L694" s="14"/>
      <c r="M694" s="14"/>
    </row>
    <row r="695" spans="1:13" ht="12.5">
      <c r="A695" s="19"/>
      <c r="B695" s="19"/>
      <c r="C695" s="19"/>
      <c r="D695" s="19"/>
      <c r="E695" s="19"/>
      <c r="F695" s="19"/>
      <c r="G695" s="19"/>
      <c r="H695" s="19"/>
      <c r="I695" s="14"/>
      <c r="J695" s="14"/>
      <c r="K695" s="14"/>
      <c r="L695" s="14"/>
      <c r="M695" s="14"/>
    </row>
    <row r="696" spans="1:13" ht="12.5">
      <c r="A696" s="19"/>
      <c r="B696" s="19"/>
      <c r="C696" s="19"/>
      <c r="D696" s="19"/>
      <c r="E696" s="19"/>
      <c r="F696" s="19"/>
      <c r="G696" s="19"/>
      <c r="H696" s="19"/>
      <c r="I696" s="14"/>
      <c r="J696" s="14"/>
      <c r="K696" s="14"/>
      <c r="L696" s="14"/>
      <c r="M696" s="14"/>
    </row>
    <row r="697" spans="1:13" ht="12.5">
      <c r="A697" s="19"/>
      <c r="B697" s="19"/>
      <c r="C697" s="19"/>
      <c r="D697" s="19"/>
      <c r="E697" s="19"/>
      <c r="F697" s="19"/>
      <c r="G697" s="19"/>
      <c r="H697" s="19"/>
      <c r="I697" s="14"/>
      <c r="J697" s="14"/>
      <c r="K697" s="14"/>
      <c r="L697" s="14"/>
      <c r="M697" s="14"/>
    </row>
    <row r="698" spans="1:13" ht="12.5">
      <c r="A698" s="19"/>
      <c r="B698" s="19"/>
      <c r="C698" s="19"/>
      <c r="D698" s="19"/>
      <c r="E698" s="19"/>
      <c r="F698" s="19"/>
      <c r="G698" s="19"/>
      <c r="H698" s="19"/>
      <c r="I698" s="14"/>
      <c r="J698" s="14"/>
      <c r="K698" s="14"/>
      <c r="L698" s="14"/>
      <c r="M698" s="14"/>
    </row>
    <row r="699" spans="1:13" ht="12.5">
      <c r="A699" s="19"/>
      <c r="B699" s="19"/>
      <c r="C699" s="19"/>
      <c r="D699" s="19"/>
      <c r="E699" s="19"/>
      <c r="F699" s="19"/>
      <c r="G699" s="19"/>
      <c r="H699" s="19"/>
      <c r="I699" s="14"/>
      <c r="J699" s="14"/>
      <c r="K699" s="14"/>
      <c r="L699" s="14"/>
      <c r="M699" s="14"/>
    </row>
    <row r="700" spans="1:13" ht="12.5">
      <c r="A700" s="19"/>
      <c r="B700" s="19"/>
      <c r="C700" s="19"/>
      <c r="D700" s="19"/>
      <c r="E700" s="19"/>
      <c r="F700" s="19"/>
      <c r="G700" s="19"/>
      <c r="H700" s="19"/>
      <c r="I700" s="14"/>
      <c r="J700" s="14"/>
      <c r="K700" s="14"/>
      <c r="L700" s="14"/>
      <c r="M700" s="14"/>
    </row>
    <row r="701" spans="1:13" ht="12.5">
      <c r="A701" s="19"/>
      <c r="B701" s="19"/>
      <c r="C701" s="19"/>
      <c r="D701" s="19"/>
      <c r="E701" s="19"/>
      <c r="F701" s="19"/>
      <c r="G701" s="19"/>
      <c r="H701" s="19"/>
      <c r="I701" s="14"/>
      <c r="J701" s="14"/>
      <c r="K701" s="14"/>
      <c r="L701" s="14"/>
      <c r="M701" s="14"/>
    </row>
    <row r="702" spans="1:13" ht="12.5">
      <c r="A702" s="19"/>
      <c r="B702" s="19"/>
      <c r="C702" s="19"/>
      <c r="D702" s="19"/>
      <c r="E702" s="19"/>
      <c r="F702" s="19"/>
      <c r="G702" s="19"/>
      <c r="H702" s="19"/>
      <c r="I702" s="14"/>
      <c r="J702" s="14"/>
      <c r="K702" s="14"/>
      <c r="L702" s="14"/>
      <c r="M702" s="14"/>
    </row>
    <row r="703" spans="1:13" ht="12.5">
      <c r="A703" s="19"/>
      <c r="B703" s="19"/>
      <c r="C703" s="19"/>
      <c r="D703" s="19"/>
      <c r="E703" s="19"/>
      <c r="F703" s="19"/>
      <c r="G703" s="19"/>
      <c r="H703" s="19"/>
      <c r="I703" s="14"/>
      <c r="J703" s="14"/>
      <c r="K703" s="14"/>
      <c r="L703" s="14"/>
      <c r="M703" s="14"/>
    </row>
    <row r="704" spans="1:13" ht="12.5">
      <c r="A704" s="19"/>
      <c r="B704" s="19"/>
      <c r="C704" s="19"/>
      <c r="D704" s="19"/>
      <c r="E704" s="19"/>
      <c r="F704" s="19"/>
      <c r="G704" s="19"/>
      <c r="H704" s="19"/>
      <c r="I704" s="14"/>
      <c r="J704" s="14"/>
      <c r="K704" s="14"/>
      <c r="L704" s="14"/>
      <c r="M704" s="14"/>
    </row>
    <row r="705" spans="1:13" ht="12.5">
      <c r="A705" s="19"/>
      <c r="B705" s="19"/>
      <c r="C705" s="19"/>
      <c r="D705" s="19"/>
      <c r="E705" s="19"/>
      <c r="F705" s="19"/>
      <c r="G705" s="19"/>
      <c r="H705" s="19"/>
      <c r="I705" s="14"/>
      <c r="J705" s="14"/>
      <c r="K705" s="14"/>
      <c r="L705" s="14"/>
      <c r="M705" s="14"/>
    </row>
    <row r="706" spans="1:13" ht="12.5">
      <c r="A706" s="19"/>
      <c r="B706" s="19"/>
      <c r="C706" s="19"/>
      <c r="D706" s="19"/>
      <c r="E706" s="19"/>
      <c r="F706" s="19"/>
      <c r="G706" s="19"/>
      <c r="H706" s="19"/>
      <c r="I706" s="14"/>
      <c r="J706" s="14"/>
      <c r="K706" s="14"/>
      <c r="L706" s="14"/>
      <c r="M706" s="14"/>
    </row>
    <row r="707" spans="1:13" ht="12.5">
      <c r="A707" s="19"/>
      <c r="B707" s="19"/>
      <c r="C707" s="19"/>
      <c r="D707" s="19"/>
      <c r="E707" s="19"/>
      <c r="F707" s="19"/>
      <c r="G707" s="19"/>
      <c r="H707" s="19"/>
      <c r="I707" s="14"/>
      <c r="J707" s="14"/>
      <c r="K707" s="14"/>
      <c r="L707" s="14"/>
      <c r="M707" s="14"/>
    </row>
    <row r="708" spans="1:13" ht="12.5">
      <c r="A708" s="19"/>
      <c r="B708" s="19"/>
      <c r="C708" s="19"/>
      <c r="D708" s="19"/>
      <c r="E708" s="19"/>
      <c r="F708" s="19"/>
      <c r="G708" s="19"/>
      <c r="H708" s="19"/>
      <c r="I708" s="14"/>
      <c r="J708" s="14"/>
      <c r="K708" s="14"/>
      <c r="L708" s="14"/>
      <c r="M708" s="14"/>
    </row>
    <row r="709" spans="1:13" ht="12.5">
      <c r="A709" s="19"/>
      <c r="B709" s="19"/>
      <c r="C709" s="19"/>
      <c r="D709" s="19"/>
      <c r="E709" s="19"/>
      <c r="F709" s="19"/>
      <c r="G709" s="19"/>
      <c r="H709" s="19"/>
      <c r="I709" s="14"/>
      <c r="J709" s="14"/>
      <c r="K709" s="14"/>
      <c r="L709" s="14"/>
      <c r="M709" s="14"/>
    </row>
    <row r="710" spans="1:13" ht="12.5">
      <c r="A710" s="19"/>
      <c r="B710" s="19"/>
      <c r="C710" s="19"/>
      <c r="D710" s="19"/>
      <c r="E710" s="19"/>
      <c r="F710" s="19"/>
      <c r="G710" s="19"/>
      <c r="H710" s="19"/>
      <c r="I710" s="14"/>
      <c r="J710" s="14"/>
      <c r="K710" s="14"/>
      <c r="L710" s="14"/>
      <c r="M710" s="14"/>
    </row>
    <row r="711" spans="1:13" ht="12.5">
      <c r="A711" s="19"/>
      <c r="B711" s="19"/>
      <c r="C711" s="19"/>
      <c r="D711" s="19"/>
      <c r="E711" s="19"/>
      <c r="F711" s="19"/>
      <c r="G711" s="19"/>
      <c r="H711" s="19"/>
      <c r="I711" s="14"/>
      <c r="J711" s="14"/>
      <c r="K711" s="14"/>
      <c r="L711" s="14"/>
      <c r="M711" s="14"/>
    </row>
    <row r="712" spans="1:13" ht="12.5">
      <c r="A712" s="19"/>
      <c r="B712" s="19"/>
      <c r="C712" s="19"/>
      <c r="D712" s="19"/>
      <c r="E712" s="19"/>
      <c r="F712" s="19"/>
      <c r="G712" s="19"/>
      <c r="H712" s="19"/>
      <c r="I712" s="14"/>
      <c r="J712" s="14"/>
      <c r="K712" s="14"/>
      <c r="L712" s="14"/>
      <c r="M712" s="14"/>
    </row>
    <row r="713" spans="1:13" ht="12.5">
      <c r="A713" s="19"/>
      <c r="B713" s="19"/>
      <c r="C713" s="19"/>
      <c r="D713" s="19"/>
      <c r="E713" s="19"/>
      <c r="F713" s="19"/>
      <c r="G713" s="19"/>
      <c r="H713" s="19"/>
      <c r="I713" s="14"/>
      <c r="J713" s="14"/>
      <c r="K713" s="14"/>
      <c r="L713" s="14"/>
      <c r="M713" s="14"/>
    </row>
    <row r="714" spans="1:13" ht="12.5">
      <c r="A714" s="19"/>
      <c r="B714" s="19"/>
      <c r="C714" s="19"/>
      <c r="D714" s="19"/>
      <c r="E714" s="19"/>
      <c r="F714" s="19"/>
      <c r="G714" s="19"/>
      <c r="H714" s="19"/>
      <c r="I714" s="14"/>
      <c r="J714" s="14"/>
      <c r="K714" s="14"/>
      <c r="L714" s="14"/>
      <c r="M714" s="14"/>
    </row>
    <row r="715" spans="1:13" ht="12.5">
      <c r="A715" s="19"/>
      <c r="B715" s="19"/>
      <c r="C715" s="19"/>
      <c r="D715" s="19"/>
      <c r="E715" s="19"/>
      <c r="F715" s="19"/>
      <c r="G715" s="19"/>
      <c r="H715" s="19"/>
      <c r="I715" s="14"/>
      <c r="J715" s="14"/>
      <c r="K715" s="14"/>
      <c r="L715" s="14"/>
      <c r="M715" s="14"/>
    </row>
    <row r="716" spans="1:13" ht="12.5">
      <c r="A716" s="19"/>
      <c r="B716" s="19"/>
      <c r="C716" s="19"/>
      <c r="D716" s="19"/>
      <c r="E716" s="19"/>
      <c r="F716" s="19"/>
      <c r="G716" s="19"/>
      <c r="H716" s="19"/>
      <c r="I716" s="14"/>
      <c r="J716" s="14"/>
      <c r="K716" s="14"/>
      <c r="L716" s="14"/>
      <c r="M716" s="14"/>
    </row>
    <row r="717" spans="1:13" ht="12.5">
      <c r="A717" s="19"/>
      <c r="B717" s="19"/>
      <c r="C717" s="19"/>
      <c r="D717" s="19"/>
      <c r="E717" s="19"/>
      <c r="F717" s="19"/>
      <c r="G717" s="19"/>
      <c r="H717" s="19"/>
      <c r="I717" s="14"/>
      <c r="J717" s="14"/>
      <c r="K717" s="14"/>
      <c r="L717" s="14"/>
      <c r="M717" s="14"/>
    </row>
    <row r="718" spans="1:13" ht="12.5">
      <c r="A718" s="19"/>
      <c r="B718" s="19"/>
      <c r="C718" s="19"/>
      <c r="D718" s="19"/>
      <c r="E718" s="19"/>
      <c r="F718" s="19"/>
      <c r="G718" s="19"/>
      <c r="H718" s="19"/>
    </row>
    <row r="719" spans="1:13" ht="12.5">
      <c r="A719" s="19"/>
      <c r="B719" s="19"/>
      <c r="C719" s="19"/>
      <c r="D719" s="19"/>
      <c r="E719" s="19"/>
      <c r="F719" s="19"/>
      <c r="G719" s="19"/>
      <c r="H719" s="19"/>
    </row>
    <row r="720" spans="1:13" ht="12.5">
      <c r="A720" s="19"/>
      <c r="B720" s="19"/>
      <c r="C720" s="19"/>
      <c r="D720" s="19"/>
      <c r="E720" s="19"/>
      <c r="F720" s="19"/>
      <c r="G720" s="19"/>
      <c r="H720" s="19"/>
    </row>
    <row r="721" spans="1:8" ht="12.5">
      <c r="A721" s="19"/>
      <c r="B721" s="19"/>
      <c r="C721" s="19"/>
      <c r="D721" s="19"/>
      <c r="E721" s="19"/>
      <c r="F721" s="19"/>
      <c r="G721" s="19"/>
      <c r="H721" s="19"/>
    </row>
    <row r="722" spans="1:8" ht="12.5">
      <c r="A722" s="19"/>
      <c r="B722" s="19"/>
      <c r="C722" s="19"/>
      <c r="D722" s="19"/>
      <c r="E722" s="19"/>
      <c r="F722" s="19"/>
      <c r="G722" s="19"/>
      <c r="H722" s="19"/>
    </row>
    <row r="723" spans="1:8" ht="12.5">
      <c r="A723" s="19"/>
      <c r="B723" s="19"/>
      <c r="C723" s="19"/>
      <c r="D723" s="19"/>
      <c r="E723" s="19"/>
      <c r="F723" s="19"/>
      <c r="G723" s="19"/>
      <c r="H723" s="19"/>
    </row>
    <row r="724" spans="1:8" ht="12.5">
      <c r="A724" s="19"/>
      <c r="B724" s="19"/>
      <c r="C724" s="19"/>
      <c r="D724" s="19"/>
      <c r="E724" s="19"/>
      <c r="F724" s="19"/>
      <c r="G724" s="19"/>
      <c r="H724" s="19"/>
    </row>
    <row r="725" spans="1:8" ht="12.5">
      <c r="A725" s="19"/>
      <c r="B725" s="19"/>
      <c r="C725" s="19"/>
      <c r="D725" s="19"/>
      <c r="E725" s="19"/>
      <c r="F725" s="19"/>
      <c r="G725" s="19"/>
      <c r="H725" s="19"/>
    </row>
    <row r="726" spans="1:8" ht="12.5">
      <c r="A726" s="19"/>
      <c r="B726" s="19"/>
      <c r="C726" s="19"/>
      <c r="D726" s="19"/>
      <c r="E726" s="19"/>
      <c r="F726" s="19"/>
      <c r="G726" s="19"/>
      <c r="H726" s="19"/>
    </row>
    <row r="727" spans="1:8" ht="12.5">
      <c r="A727" s="19"/>
      <c r="B727" s="19"/>
      <c r="C727" s="19"/>
      <c r="D727" s="19"/>
      <c r="E727" s="19"/>
      <c r="F727" s="19"/>
      <c r="G727" s="19"/>
      <c r="H727" s="19"/>
    </row>
    <row r="728" spans="1:8" ht="12.5">
      <c r="A728" s="19"/>
      <c r="B728" s="19"/>
      <c r="C728" s="19"/>
      <c r="D728" s="19"/>
      <c r="E728" s="19"/>
      <c r="F728" s="19"/>
      <c r="G728" s="19"/>
      <c r="H728" s="19"/>
    </row>
    <row r="729" spans="1:8" ht="12.5">
      <c r="A729" s="19"/>
      <c r="B729" s="19"/>
      <c r="C729" s="19"/>
      <c r="D729" s="19"/>
      <c r="E729" s="19"/>
      <c r="F729" s="19"/>
      <c r="G729" s="19"/>
      <c r="H729" s="19"/>
    </row>
    <row r="730" spans="1:8" ht="12.5">
      <c r="A730" s="19"/>
      <c r="B730" s="19"/>
      <c r="C730" s="19"/>
      <c r="D730" s="19"/>
      <c r="E730" s="19"/>
      <c r="F730" s="19"/>
      <c r="G730" s="19"/>
      <c r="H730" s="19"/>
    </row>
    <row r="731" spans="1:8" ht="12.5">
      <c r="A731" s="19"/>
      <c r="B731" s="19"/>
      <c r="C731" s="19"/>
      <c r="D731" s="19"/>
      <c r="E731" s="19"/>
      <c r="F731" s="19"/>
      <c r="G731" s="19"/>
      <c r="H731" s="19"/>
    </row>
    <row r="732" spans="1:8" ht="12.5">
      <c r="A732" s="19"/>
      <c r="B732" s="19"/>
      <c r="C732" s="19"/>
      <c r="D732" s="19"/>
      <c r="E732" s="19"/>
      <c r="F732" s="19"/>
      <c r="G732" s="19"/>
      <c r="H732" s="19"/>
    </row>
    <row r="733" spans="1:8" ht="12.5">
      <c r="A733" s="19"/>
      <c r="B733" s="19"/>
      <c r="C733" s="19"/>
      <c r="D733" s="19"/>
      <c r="E733" s="19"/>
      <c r="F733" s="19"/>
      <c r="G733" s="19"/>
      <c r="H733" s="19"/>
    </row>
    <row r="734" spans="1:8" ht="12.5">
      <c r="A734" s="19"/>
      <c r="B734" s="19"/>
      <c r="C734" s="19"/>
      <c r="D734" s="19"/>
      <c r="E734" s="19"/>
      <c r="F734" s="19"/>
      <c r="G734" s="19"/>
      <c r="H734" s="19"/>
    </row>
    <row r="735" spans="1:8" ht="12.5">
      <c r="A735" s="19"/>
      <c r="B735" s="19"/>
      <c r="C735" s="19"/>
      <c r="D735" s="19"/>
      <c r="E735" s="19"/>
      <c r="F735" s="19"/>
      <c r="G735" s="19"/>
      <c r="H735" s="19"/>
    </row>
    <row r="736" spans="1:8" ht="12.5">
      <c r="A736" s="19"/>
      <c r="B736" s="19"/>
      <c r="C736" s="19"/>
      <c r="D736" s="19"/>
      <c r="E736" s="19"/>
      <c r="F736" s="19"/>
      <c r="G736" s="19"/>
      <c r="H736" s="19"/>
    </row>
    <row r="737" spans="1:8" ht="12.5">
      <c r="A737" s="19"/>
      <c r="B737" s="19"/>
      <c r="C737" s="19"/>
      <c r="D737" s="19"/>
      <c r="E737" s="19"/>
      <c r="F737" s="19"/>
      <c r="G737" s="19"/>
      <c r="H737" s="19"/>
    </row>
    <row r="738" spans="1:8" ht="12.5">
      <c r="A738" s="19"/>
      <c r="B738" s="19"/>
      <c r="C738" s="19"/>
      <c r="D738" s="19"/>
      <c r="E738" s="19"/>
      <c r="F738" s="19"/>
      <c r="G738" s="19"/>
      <c r="H738" s="19"/>
    </row>
    <row r="739" spans="1:8" ht="12.5">
      <c r="A739" s="19"/>
      <c r="B739" s="19"/>
      <c r="C739" s="19"/>
      <c r="D739" s="19"/>
      <c r="E739" s="19"/>
      <c r="F739" s="19"/>
      <c r="G739" s="19"/>
      <c r="H739" s="19"/>
    </row>
    <row r="740" spans="1:8" ht="12.5">
      <c r="A740" s="19"/>
      <c r="B740" s="19"/>
      <c r="C740" s="19"/>
      <c r="D740" s="19"/>
      <c r="E740" s="19"/>
      <c r="F740" s="19"/>
      <c r="G740" s="19"/>
      <c r="H740" s="19"/>
    </row>
    <row r="741" spans="1:8" ht="12.5">
      <c r="A741" s="19"/>
      <c r="B741" s="19"/>
      <c r="C741" s="19"/>
      <c r="D741" s="19"/>
      <c r="E741" s="19"/>
      <c r="F741" s="19"/>
      <c r="G741" s="19"/>
      <c r="H741" s="19"/>
    </row>
    <row r="742" spans="1:8" ht="12.5">
      <c r="A742" s="19"/>
      <c r="B742" s="19"/>
      <c r="C742" s="19"/>
      <c r="D742" s="19"/>
      <c r="E742" s="19"/>
      <c r="F742" s="19"/>
      <c r="G742" s="19"/>
      <c r="H742" s="19"/>
    </row>
    <row r="743" spans="1:8" ht="12.5">
      <c r="A743" s="19"/>
      <c r="B743" s="19"/>
      <c r="C743" s="19"/>
      <c r="D743" s="19"/>
      <c r="E743" s="19"/>
      <c r="F743" s="19"/>
      <c r="G743" s="19"/>
      <c r="H743" s="19"/>
    </row>
    <row r="744" spans="1:8" ht="12.5">
      <c r="A744" s="19"/>
      <c r="B744" s="19"/>
      <c r="C744" s="19"/>
      <c r="D744" s="19"/>
      <c r="E744" s="19"/>
      <c r="F744" s="19"/>
      <c r="G744" s="19"/>
      <c r="H744" s="19"/>
    </row>
    <row r="745" spans="1:8" ht="12.5">
      <c r="A745" s="19"/>
      <c r="B745" s="19"/>
      <c r="C745" s="19"/>
      <c r="D745" s="19"/>
      <c r="E745" s="19"/>
      <c r="F745" s="19"/>
      <c r="G745" s="19"/>
      <c r="H745" s="19"/>
    </row>
    <row r="746" spans="1:8" ht="12.5">
      <c r="A746" s="19"/>
      <c r="B746" s="19"/>
      <c r="C746" s="19"/>
      <c r="D746" s="19"/>
      <c r="E746" s="19"/>
      <c r="F746" s="19"/>
      <c r="G746" s="19"/>
      <c r="H746" s="19"/>
    </row>
    <row r="747" spans="1:8" ht="12.5">
      <c r="A747" s="19"/>
      <c r="B747" s="19"/>
      <c r="C747" s="19"/>
      <c r="D747" s="19"/>
      <c r="E747" s="19"/>
      <c r="F747" s="19"/>
      <c r="G747" s="19"/>
      <c r="H747" s="19"/>
    </row>
    <row r="748" spans="1:8" ht="12.5">
      <c r="A748" s="19"/>
      <c r="B748" s="19"/>
      <c r="C748" s="19"/>
      <c r="D748" s="19"/>
      <c r="E748" s="19"/>
      <c r="F748" s="19"/>
      <c r="G748" s="19"/>
      <c r="H748" s="19"/>
    </row>
    <row r="749" spans="1:8" ht="12.5">
      <c r="A749" s="19"/>
      <c r="B749" s="19"/>
      <c r="C749" s="19"/>
      <c r="D749" s="19"/>
      <c r="E749" s="19"/>
      <c r="F749" s="19"/>
      <c r="G749" s="19"/>
      <c r="H749" s="19"/>
    </row>
    <row r="750" spans="1:8" ht="12.5">
      <c r="A750" s="19"/>
      <c r="B750" s="19"/>
      <c r="C750" s="19"/>
      <c r="D750" s="19"/>
      <c r="E750" s="19"/>
      <c r="F750" s="19"/>
      <c r="G750" s="19"/>
      <c r="H750" s="19"/>
    </row>
    <row r="751" spans="1:8" ht="12.5">
      <c r="A751" s="19"/>
      <c r="B751" s="19"/>
      <c r="C751" s="19"/>
      <c r="D751" s="19"/>
      <c r="E751" s="19"/>
      <c r="F751" s="19"/>
      <c r="G751" s="19"/>
      <c r="H751" s="19"/>
    </row>
    <row r="752" spans="1:8" ht="12.5">
      <c r="A752" s="19"/>
      <c r="B752" s="19"/>
      <c r="C752" s="19"/>
      <c r="D752" s="19"/>
      <c r="E752" s="19"/>
      <c r="F752" s="19"/>
      <c r="G752" s="19"/>
      <c r="H752" s="19"/>
    </row>
    <row r="753" spans="1:8" ht="12.5">
      <c r="A753" s="19"/>
      <c r="B753" s="19"/>
      <c r="C753" s="19"/>
      <c r="D753" s="19"/>
      <c r="E753" s="19"/>
      <c r="F753" s="19"/>
      <c r="G753" s="19"/>
      <c r="H753" s="19"/>
    </row>
    <row r="754" spans="1:8" ht="12.5">
      <c r="A754" s="19"/>
      <c r="B754" s="19"/>
      <c r="C754" s="19"/>
      <c r="D754" s="19"/>
      <c r="E754" s="19"/>
      <c r="F754" s="19"/>
      <c r="G754" s="19"/>
      <c r="H754" s="19"/>
    </row>
    <row r="755" spans="1:8" ht="12.5">
      <c r="A755" s="19"/>
      <c r="B755" s="19"/>
      <c r="C755" s="19"/>
      <c r="D755" s="19"/>
      <c r="E755" s="19"/>
      <c r="F755" s="19"/>
      <c r="G755" s="19"/>
      <c r="H755" s="19"/>
    </row>
    <row r="756" spans="1:8" ht="12.5">
      <c r="A756" s="19"/>
      <c r="B756" s="19"/>
      <c r="C756" s="19"/>
      <c r="D756" s="19"/>
      <c r="E756" s="19"/>
      <c r="F756" s="19"/>
      <c r="G756" s="19"/>
      <c r="H756" s="19"/>
    </row>
    <row r="757" spans="1:8" ht="12.5">
      <c r="A757" s="19"/>
      <c r="B757" s="19"/>
      <c r="C757" s="19"/>
      <c r="D757" s="19"/>
      <c r="E757" s="19"/>
      <c r="F757" s="19"/>
      <c r="G757" s="19"/>
      <c r="H757" s="19"/>
    </row>
    <row r="758" spans="1:8" ht="12.5">
      <c r="A758" s="19"/>
      <c r="B758" s="19"/>
      <c r="C758" s="19"/>
      <c r="D758" s="19"/>
      <c r="E758" s="19"/>
      <c r="F758" s="19"/>
      <c r="G758" s="19"/>
      <c r="H758" s="19"/>
    </row>
    <row r="759" spans="1:8" ht="12.5">
      <c r="A759" s="19"/>
      <c r="B759" s="19"/>
      <c r="C759" s="19"/>
      <c r="D759" s="19"/>
      <c r="E759" s="19"/>
      <c r="F759" s="19"/>
      <c r="G759" s="19"/>
      <c r="H759" s="19"/>
    </row>
    <row r="760" spans="1:8" ht="12.5">
      <c r="A760" s="19"/>
      <c r="B760" s="19"/>
      <c r="C760" s="19"/>
      <c r="D760" s="19"/>
      <c r="E760" s="19"/>
      <c r="F760" s="19"/>
      <c r="G760" s="19"/>
      <c r="H760" s="19"/>
    </row>
    <row r="761" spans="1:8" ht="12.5">
      <c r="A761" s="19"/>
      <c r="B761" s="19"/>
      <c r="C761" s="19"/>
      <c r="D761" s="19"/>
      <c r="E761" s="19"/>
      <c r="F761" s="19"/>
      <c r="G761" s="19"/>
      <c r="H761" s="19"/>
    </row>
    <row r="762" spans="1:8" ht="12.5">
      <c r="A762" s="19"/>
      <c r="B762" s="19"/>
      <c r="C762" s="19"/>
      <c r="D762" s="19"/>
      <c r="E762" s="19"/>
      <c r="F762" s="19"/>
      <c r="G762" s="19"/>
      <c r="H762" s="19"/>
    </row>
    <row r="763" spans="1:8" ht="12.5">
      <c r="A763" s="19"/>
      <c r="B763" s="19"/>
      <c r="C763" s="19"/>
      <c r="D763" s="19"/>
      <c r="E763" s="19"/>
      <c r="F763" s="19"/>
      <c r="G763" s="19"/>
      <c r="H763" s="19"/>
    </row>
    <row r="764" spans="1:8" ht="12.5">
      <c r="A764" s="19"/>
      <c r="B764" s="19"/>
      <c r="C764" s="19"/>
      <c r="D764" s="19"/>
      <c r="E764" s="19"/>
      <c r="F764" s="19"/>
      <c r="G764" s="19"/>
      <c r="H764" s="19"/>
    </row>
    <row r="765" spans="1:8" ht="12.5">
      <c r="A765" s="19"/>
      <c r="B765" s="19"/>
      <c r="C765" s="19"/>
      <c r="D765" s="19"/>
      <c r="E765" s="19"/>
      <c r="F765" s="19"/>
      <c r="G765" s="19"/>
      <c r="H765" s="19"/>
    </row>
    <row r="766" spans="1:8" ht="12.5">
      <c r="A766" s="19"/>
      <c r="B766" s="19"/>
      <c r="C766" s="19"/>
      <c r="D766" s="19"/>
      <c r="E766" s="19"/>
      <c r="F766" s="19"/>
      <c r="G766" s="19"/>
      <c r="H766" s="19"/>
    </row>
    <row r="767" spans="1:8" ht="12.5">
      <c r="A767" s="19"/>
      <c r="B767" s="19"/>
      <c r="C767" s="19"/>
      <c r="D767" s="19"/>
      <c r="E767" s="19"/>
      <c r="F767" s="19"/>
      <c r="G767" s="19"/>
      <c r="H767" s="19"/>
    </row>
    <row r="768" spans="1:8" ht="12.5">
      <c r="A768" s="19"/>
      <c r="B768" s="19"/>
      <c r="C768" s="19"/>
      <c r="D768" s="19"/>
      <c r="E768" s="19"/>
      <c r="F768" s="19"/>
      <c r="G768" s="19"/>
      <c r="H768" s="19"/>
    </row>
    <row r="769" spans="1:8" ht="12.5">
      <c r="A769" s="19"/>
      <c r="B769" s="19"/>
      <c r="C769" s="19"/>
      <c r="D769" s="19"/>
      <c r="E769" s="19"/>
      <c r="F769" s="19"/>
      <c r="G769" s="19"/>
      <c r="H769" s="19"/>
    </row>
    <row r="770" spans="1:8" ht="12.5">
      <c r="A770" s="19"/>
      <c r="B770" s="19"/>
      <c r="C770" s="19"/>
      <c r="D770" s="19"/>
      <c r="E770" s="19"/>
      <c r="F770" s="19"/>
      <c r="G770" s="19"/>
      <c r="H770" s="19"/>
    </row>
    <row r="771" spans="1:8" ht="12.5">
      <c r="A771" s="19"/>
      <c r="B771" s="19"/>
      <c r="C771" s="19"/>
      <c r="D771" s="19"/>
      <c r="E771" s="19"/>
      <c r="F771" s="19"/>
      <c r="G771" s="19"/>
      <c r="H771" s="19"/>
    </row>
    <row r="772" spans="1:8" ht="12.5">
      <c r="A772" s="19"/>
      <c r="B772" s="19"/>
      <c r="C772" s="19"/>
      <c r="D772" s="19"/>
      <c r="E772" s="19"/>
      <c r="F772" s="19"/>
      <c r="G772" s="19"/>
      <c r="H772" s="19"/>
    </row>
    <row r="773" spans="1:8" ht="12.5">
      <c r="A773" s="19"/>
      <c r="B773" s="19"/>
      <c r="C773" s="19"/>
      <c r="D773" s="19"/>
      <c r="E773" s="19"/>
      <c r="F773" s="19"/>
      <c r="G773" s="19"/>
      <c r="H773" s="19"/>
    </row>
    <row r="774" spans="1:8" ht="12.5">
      <c r="A774" s="19"/>
      <c r="B774" s="19"/>
      <c r="C774" s="19"/>
      <c r="D774" s="19"/>
      <c r="E774" s="19"/>
      <c r="F774" s="19"/>
      <c r="G774" s="19"/>
      <c r="H774" s="19"/>
    </row>
    <row r="775" spans="1:8" ht="12.5">
      <c r="A775" s="19"/>
      <c r="B775" s="19"/>
      <c r="C775" s="19"/>
      <c r="D775" s="19"/>
      <c r="E775" s="19"/>
      <c r="F775" s="19"/>
      <c r="G775" s="19"/>
      <c r="H775" s="19"/>
    </row>
    <row r="776" spans="1:8" ht="12.5">
      <c r="A776" s="19"/>
      <c r="B776" s="19"/>
      <c r="C776" s="19"/>
      <c r="D776" s="19"/>
      <c r="E776" s="19"/>
      <c r="F776" s="19"/>
      <c r="G776" s="19"/>
      <c r="H776" s="19"/>
    </row>
    <row r="777" spans="1:8" ht="12.5">
      <c r="A777" s="19"/>
      <c r="B777" s="19"/>
      <c r="C777" s="19"/>
      <c r="D777" s="19"/>
      <c r="E777" s="19"/>
      <c r="F777" s="19"/>
      <c r="G777" s="19"/>
      <c r="H777" s="19"/>
    </row>
    <row r="778" spans="1:8" ht="12.5">
      <c r="A778" s="19"/>
      <c r="B778" s="19"/>
      <c r="C778" s="19"/>
      <c r="D778" s="19"/>
      <c r="E778" s="19"/>
      <c r="F778" s="19"/>
      <c r="G778" s="19"/>
      <c r="H778" s="19"/>
    </row>
    <row r="779" spans="1:8" ht="12.5">
      <c r="A779" s="19"/>
      <c r="B779" s="19"/>
      <c r="C779" s="19"/>
      <c r="D779" s="19"/>
      <c r="E779" s="19"/>
      <c r="F779" s="19"/>
      <c r="G779" s="19"/>
      <c r="H779" s="19"/>
    </row>
    <row r="780" spans="1:8" ht="12.5">
      <c r="A780" s="19"/>
      <c r="B780" s="19"/>
      <c r="C780" s="19"/>
      <c r="D780" s="19"/>
      <c r="E780" s="19"/>
      <c r="F780" s="19"/>
      <c r="G780" s="19"/>
      <c r="H780" s="19"/>
    </row>
    <row r="781" spans="1:8" ht="12.5">
      <c r="A781" s="19"/>
      <c r="B781" s="19"/>
      <c r="C781" s="19"/>
      <c r="D781" s="19"/>
      <c r="E781" s="19"/>
      <c r="F781" s="19"/>
      <c r="G781" s="19"/>
      <c r="H781" s="19"/>
    </row>
    <row r="782" spans="1:8" ht="12.5">
      <c r="A782" s="19"/>
      <c r="B782" s="19"/>
      <c r="C782" s="19"/>
      <c r="D782" s="19"/>
      <c r="E782" s="19"/>
      <c r="F782" s="19"/>
      <c r="G782" s="19"/>
      <c r="H782" s="19"/>
    </row>
    <row r="783" spans="1:8" ht="12.5">
      <c r="A783" s="19"/>
      <c r="B783" s="19"/>
      <c r="C783" s="19"/>
      <c r="D783" s="19"/>
      <c r="E783" s="19"/>
      <c r="F783" s="19"/>
      <c r="G783" s="19"/>
      <c r="H783" s="19"/>
    </row>
    <row r="784" spans="1:8" ht="12.5">
      <c r="A784" s="19"/>
      <c r="B784" s="19"/>
      <c r="C784" s="19"/>
      <c r="D784" s="19"/>
      <c r="E784" s="19"/>
      <c r="F784" s="19"/>
      <c r="G784" s="19"/>
      <c r="H784" s="19"/>
    </row>
    <row r="785" spans="1:8" ht="12.5">
      <c r="A785" s="19"/>
      <c r="B785" s="19"/>
      <c r="C785" s="19"/>
      <c r="D785" s="19"/>
      <c r="E785" s="19"/>
      <c r="F785" s="19"/>
      <c r="G785" s="19"/>
      <c r="H785" s="19"/>
    </row>
    <row r="786" spans="1:8" ht="12.5">
      <c r="A786" s="19"/>
      <c r="B786" s="19"/>
      <c r="C786" s="19"/>
      <c r="D786" s="19"/>
      <c r="E786" s="19"/>
      <c r="F786" s="19"/>
      <c r="G786" s="19"/>
      <c r="H786" s="19"/>
    </row>
    <row r="787" spans="1:8" ht="12.5">
      <c r="A787" s="19"/>
      <c r="B787" s="19"/>
      <c r="C787" s="19"/>
      <c r="D787" s="19"/>
      <c r="E787" s="19"/>
      <c r="F787" s="19"/>
      <c r="G787" s="19"/>
      <c r="H787" s="19"/>
    </row>
    <row r="788" spans="1:8" ht="12.5">
      <c r="A788" s="19"/>
      <c r="B788" s="19"/>
      <c r="C788" s="19"/>
      <c r="D788" s="19"/>
      <c r="E788" s="19"/>
      <c r="F788" s="19"/>
      <c r="G788" s="19"/>
      <c r="H788" s="19"/>
    </row>
    <row r="789" spans="1:8" ht="12.5">
      <c r="A789" s="19"/>
      <c r="B789" s="19"/>
      <c r="C789" s="19"/>
      <c r="D789" s="19"/>
      <c r="E789" s="19"/>
      <c r="F789" s="19"/>
      <c r="G789" s="19"/>
      <c r="H789" s="19"/>
    </row>
    <row r="790" spans="1:8" ht="12.5">
      <c r="A790" s="19"/>
      <c r="B790" s="19"/>
      <c r="C790" s="19"/>
      <c r="D790" s="19"/>
      <c r="E790" s="19"/>
      <c r="F790" s="19"/>
      <c r="G790" s="19"/>
      <c r="H790" s="19"/>
    </row>
    <row r="791" spans="1:8" ht="12.5">
      <c r="A791" s="19"/>
      <c r="B791" s="19"/>
      <c r="C791" s="19"/>
      <c r="D791" s="19"/>
      <c r="E791" s="19"/>
      <c r="F791" s="19"/>
      <c r="G791" s="19"/>
      <c r="H791" s="19"/>
    </row>
    <row r="792" spans="1:8" ht="12.5">
      <c r="A792" s="19"/>
      <c r="B792" s="19"/>
      <c r="C792" s="19"/>
      <c r="D792" s="19"/>
      <c r="E792" s="19"/>
      <c r="F792" s="19"/>
      <c r="G792" s="19"/>
      <c r="H792" s="19"/>
    </row>
    <row r="793" spans="1:8" ht="12.5">
      <c r="A793" s="19"/>
      <c r="B793" s="19"/>
      <c r="C793" s="19"/>
      <c r="D793" s="19"/>
      <c r="E793" s="19"/>
      <c r="F793" s="19"/>
      <c r="G793" s="19"/>
      <c r="H793" s="19"/>
    </row>
    <row r="794" spans="1:8" ht="12.5">
      <c r="A794" s="19"/>
      <c r="B794" s="19"/>
      <c r="C794" s="19"/>
      <c r="D794" s="19"/>
      <c r="E794" s="19"/>
      <c r="F794" s="19"/>
      <c r="G794" s="19"/>
      <c r="H794" s="19"/>
    </row>
    <row r="795" spans="1:8" ht="12.5">
      <c r="A795" s="19"/>
      <c r="B795" s="19"/>
      <c r="C795" s="19"/>
      <c r="D795" s="19"/>
      <c r="E795" s="19"/>
      <c r="F795" s="19"/>
      <c r="G795" s="19"/>
      <c r="H795" s="19"/>
    </row>
    <row r="796" spans="1:8" ht="12.5">
      <c r="A796" s="19"/>
      <c r="B796" s="19"/>
      <c r="C796" s="19"/>
      <c r="D796" s="19"/>
      <c r="E796" s="19"/>
      <c r="F796" s="19"/>
      <c r="G796" s="19"/>
      <c r="H796" s="19"/>
    </row>
    <row r="797" spans="1:8" ht="12.5">
      <c r="A797" s="19"/>
      <c r="B797" s="19"/>
      <c r="C797" s="19"/>
      <c r="D797" s="19"/>
      <c r="E797" s="19"/>
      <c r="F797" s="19"/>
      <c r="G797" s="19"/>
      <c r="H797" s="19"/>
    </row>
    <row r="798" spans="1:8" ht="12.5">
      <c r="A798" s="19"/>
      <c r="B798" s="19"/>
      <c r="C798" s="19"/>
      <c r="D798" s="19"/>
      <c r="E798" s="19"/>
      <c r="F798" s="19"/>
      <c r="G798" s="19"/>
      <c r="H798" s="19"/>
    </row>
    <row r="799" spans="1:8" ht="12.5">
      <c r="A799" s="19"/>
      <c r="B799" s="19"/>
      <c r="C799" s="19"/>
      <c r="D799" s="19"/>
      <c r="E799" s="19"/>
      <c r="F799" s="19"/>
      <c r="G799" s="19"/>
      <c r="H799" s="19"/>
    </row>
    <row r="800" spans="1:8" ht="12.5">
      <c r="A800" s="19"/>
      <c r="B800" s="19"/>
      <c r="C800" s="19"/>
      <c r="D800" s="19"/>
      <c r="E800" s="19"/>
      <c r="F800" s="19"/>
      <c r="G800" s="19"/>
      <c r="H800" s="19"/>
    </row>
    <row r="801" spans="1:8" ht="12.5">
      <c r="A801" s="19"/>
      <c r="B801" s="19"/>
      <c r="C801" s="19"/>
      <c r="D801" s="19"/>
      <c r="E801" s="19"/>
      <c r="F801" s="19"/>
      <c r="G801" s="19"/>
      <c r="H801" s="19"/>
    </row>
    <row r="802" spans="1:8" ht="12.5">
      <c r="A802" s="19"/>
      <c r="B802" s="19"/>
      <c r="C802" s="19"/>
      <c r="D802" s="19"/>
      <c r="E802" s="19"/>
      <c r="F802" s="19"/>
      <c r="G802" s="19"/>
      <c r="H802" s="19"/>
    </row>
    <row r="803" spans="1:8" ht="12.5">
      <c r="A803" s="19"/>
      <c r="B803" s="19"/>
      <c r="C803" s="19"/>
      <c r="D803" s="19"/>
      <c r="E803" s="19"/>
      <c r="F803" s="19"/>
      <c r="G803" s="19"/>
      <c r="H803" s="19"/>
    </row>
    <row r="804" spans="1:8" ht="12.5">
      <c r="A804" s="19"/>
      <c r="B804" s="19"/>
      <c r="C804" s="19"/>
      <c r="D804" s="19"/>
      <c r="E804" s="19"/>
      <c r="F804" s="19"/>
      <c r="G804" s="19"/>
      <c r="H804" s="19"/>
    </row>
    <row r="805" spans="1:8" ht="12.5">
      <c r="A805" s="19"/>
      <c r="B805" s="19"/>
      <c r="C805" s="19"/>
      <c r="D805" s="19"/>
      <c r="E805" s="19"/>
      <c r="F805" s="19"/>
      <c r="G805" s="19"/>
      <c r="H805" s="19"/>
    </row>
    <row r="806" spans="1:8" ht="12.5">
      <c r="A806" s="19"/>
      <c r="B806" s="19"/>
      <c r="C806" s="19"/>
      <c r="D806" s="19"/>
      <c r="E806" s="19"/>
      <c r="F806" s="19"/>
      <c r="G806" s="19"/>
      <c r="H806" s="19"/>
    </row>
    <row r="807" spans="1:8" ht="12.5">
      <c r="A807" s="19"/>
      <c r="B807" s="19"/>
      <c r="C807" s="19"/>
      <c r="D807" s="19"/>
      <c r="E807" s="19"/>
      <c r="F807" s="19"/>
      <c r="G807" s="19"/>
      <c r="H807" s="19"/>
    </row>
    <row r="808" spans="1:8" ht="12.5">
      <c r="A808" s="19"/>
      <c r="B808" s="19"/>
      <c r="C808" s="19"/>
      <c r="D808" s="19"/>
      <c r="E808" s="19"/>
      <c r="F808" s="19"/>
      <c r="G808" s="19"/>
      <c r="H808" s="19"/>
    </row>
    <row r="809" spans="1:8" ht="12.5">
      <c r="A809" s="19"/>
      <c r="B809" s="19"/>
      <c r="C809" s="19"/>
      <c r="D809" s="19"/>
      <c r="E809" s="19"/>
      <c r="F809" s="19"/>
      <c r="G809" s="19"/>
      <c r="H809" s="19"/>
    </row>
    <row r="810" spans="1:8" ht="12.5">
      <c r="A810" s="19"/>
      <c r="B810" s="19"/>
      <c r="C810" s="19"/>
      <c r="D810" s="19"/>
      <c r="E810" s="19"/>
      <c r="F810" s="19"/>
      <c r="G810" s="19"/>
      <c r="H810" s="19"/>
    </row>
    <row r="811" spans="1:8" ht="12.5">
      <c r="A811" s="19"/>
      <c r="B811" s="19"/>
      <c r="C811" s="19"/>
      <c r="D811" s="19"/>
      <c r="E811" s="19"/>
      <c r="F811" s="19"/>
      <c r="G811" s="19"/>
      <c r="H811" s="19"/>
    </row>
    <row r="812" spans="1:8" ht="12.5">
      <c r="A812" s="19"/>
      <c r="B812" s="19"/>
      <c r="C812" s="19"/>
      <c r="D812" s="19"/>
      <c r="E812" s="19"/>
      <c r="F812" s="19"/>
      <c r="G812" s="19"/>
      <c r="H812" s="19"/>
    </row>
    <row r="813" spans="1:8" ht="12.5">
      <c r="A813" s="19"/>
      <c r="B813" s="19"/>
      <c r="C813" s="19"/>
      <c r="D813" s="19"/>
      <c r="E813" s="19"/>
      <c r="F813" s="19"/>
      <c r="G813" s="19"/>
      <c r="H813" s="19"/>
    </row>
    <row r="814" spans="1:8" ht="12.5">
      <c r="A814" s="19"/>
      <c r="B814" s="19"/>
      <c r="C814" s="19"/>
      <c r="D814" s="19"/>
      <c r="E814" s="19"/>
      <c r="F814" s="19"/>
      <c r="G814" s="19"/>
      <c r="H814" s="19"/>
    </row>
    <row r="815" spans="1:8" ht="12.5">
      <c r="A815" s="19"/>
      <c r="B815" s="19"/>
      <c r="C815" s="19"/>
      <c r="D815" s="19"/>
      <c r="E815" s="19"/>
      <c r="F815" s="19"/>
      <c r="G815" s="19"/>
      <c r="H815" s="19"/>
    </row>
    <row r="816" spans="1:8" ht="12.5">
      <c r="A816" s="19"/>
      <c r="B816" s="19"/>
      <c r="C816" s="19"/>
      <c r="D816" s="19"/>
      <c r="E816" s="19"/>
      <c r="F816" s="19"/>
      <c r="G816" s="19"/>
      <c r="H816" s="19"/>
    </row>
    <row r="817" spans="1:8" ht="12.5">
      <c r="A817" s="19"/>
      <c r="B817" s="19"/>
      <c r="C817" s="19"/>
      <c r="D817" s="19"/>
      <c r="E817" s="19"/>
      <c r="F817" s="19"/>
      <c r="G817" s="19"/>
      <c r="H817" s="19"/>
    </row>
    <row r="818" spans="1:8" ht="12.5">
      <c r="A818" s="19"/>
      <c r="B818" s="19"/>
      <c r="C818" s="19"/>
      <c r="D818" s="19"/>
      <c r="E818" s="19"/>
      <c r="F818" s="19"/>
      <c r="G818" s="19"/>
      <c r="H818" s="19"/>
    </row>
    <row r="819" spans="1:8" ht="12.5">
      <c r="A819" s="19"/>
      <c r="B819" s="19"/>
      <c r="C819" s="19"/>
      <c r="D819" s="19"/>
      <c r="E819" s="19"/>
      <c r="F819" s="19"/>
      <c r="G819" s="19"/>
      <c r="H819" s="19"/>
    </row>
    <row r="820" spans="1:8" ht="12.5">
      <c r="A820" s="19"/>
      <c r="B820" s="19"/>
      <c r="C820" s="19"/>
      <c r="D820" s="19"/>
      <c r="E820" s="19"/>
      <c r="F820" s="19"/>
      <c r="G820" s="19"/>
      <c r="H820" s="19"/>
    </row>
    <row r="821" spans="1:8" ht="12.5">
      <c r="A821" s="19"/>
      <c r="B821" s="19"/>
      <c r="C821" s="19"/>
      <c r="D821" s="19"/>
      <c r="E821" s="19"/>
      <c r="F821" s="19"/>
      <c r="G821" s="19"/>
      <c r="H821" s="19"/>
    </row>
    <row r="822" spans="1:8" ht="12.5">
      <c r="A822" s="19"/>
      <c r="B822" s="19"/>
      <c r="C822" s="19"/>
      <c r="D822" s="19"/>
      <c r="E822" s="19"/>
      <c r="F822" s="19"/>
      <c r="G822" s="19"/>
      <c r="H822" s="19"/>
    </row>
    <row r="823" spans="1:8" ht="12.5">
      <c r="A823" s="19"/>
      <c r="B823" s="19"/>
      <c r="C823" s="19"/>
      <c r="D823" s="19"/>
      <c r="E823" s="19"/>
      <c r="F823" s="19"/>
      <c r="G823" s="19"/>
      <c r="H823" s="19"/>
    </row>
    <row r="824" spans="1:8" ht="12.5">
      <c r="A824" s="19"/>
      <c r="B824" s="19"/>
      <c r="C824" s="19"/>
      <c r="D824" s="19"/>
      <c r="E824" s="19"/>
      <c r="F824" s="19"/>
      <c r="G824" s="19"/>
      <c r="H824" s="19"/>
    </row>
    <row r="825" spans="1:8" ht="12.5">
      <c r="A825" s="19"/>
      <c r="B825" s="19"/>
      <c r="C825" s="19"/>
      <c r="D825" s="19"/>
      <c r="E825" s="19"/>
      <c r="F825" s="19"/>
      <c r="G825" s="19"/>
      <c r="H825" s="19"/>
    </row>
    <row r="826" spans="1:8" ht="12.5">
      <c r="A826" s="19"/>
      <c r="B826" s="19"/>
      <c r="C826" s="19"/>
      <c r="D826" s="19"/>
      <c r="E826" s="19"/>
      <c r="F826" s="19"/>
      <c r="G826" s="19"/>
      <c r="H826" s="19"/>
    </row>
    <row r="827" spans="1:8" ht="12.5">
      <c r="A827" s="19"/>
      <c r="B827" s="19"/>
      <c r="C827" s="19"/>
      <c r="D827" s="19"/>
      <c r="E827" s="19"/>
      <c r="F827" s="19"/>
      <c r="G827" s="19"/>
      <c r="H827" s="19"/>
    </row>
    <row r="828" spans="1:8" ht="12.5">
      <c r="A828" s="19"/>
      <c r="B828" s="19"/>
      <c r="C828" s="19"/>
      <c r="D828" s="19"/>
      <c r="E828" s="19"/>
      <c r="F828" s="19"/>
      <c r="G828" s="19"/>
      <c r="H828" s="19"/>
    </row>
    <row r="829" spans="1:8" ht="12.5">
      <c r="A829" s="19"/>
      <c r="B829" s="19"/>
      <c r="C829" s="19"/>
      <c r="D829" s="19"/>
      <c r="E829" s="19"/>
      <c r="F829" s="19"/>
      <c r="G829" s="19"/>
      <c r="H829" s="19"/>
    </row>
    <row r="830" spans="1:8" ht="12.5">
      <c r="A830" s="19"/>
      <c r="B830" s="19"/>
      <c r="C830" s="19"/>
      <c r="D830" s="19"/>
      <c r="E830" s="19"/>
      <c r="F830" s="19"/>
      <c r="G830" s="19"/>
      <c r="H830" s="19"/>
    </row>
    <row r="831" spans="1:8" ht="12.5">
      <c r="A831" s="19"/>
      <c r="B831" s="19"/>
      <c r="C831" s="19"/>
      <c r="D831" s="19"/>
      <c r="E831" s="19"/>
      <c r="F831" s="19"/>
      <c r="G831" s="19"/>
      <c r="H831" s="19"/>
    </row>
    <row r="832" spans="1:8" ht="12.5">
      <c r="A832" s="19"/>
      <c r="B832" s="19"/>
      <c r="C832" s="19"/>
      <c r="D832" s="19"/>
      <c r="E832" s="19"/>
      <c r="F832" s="19"/>
      <c r="G832" s="19"/>
      <c r="H832" s="19"/>
    </row>
    <row r="833" spans="1:8" ht="12.5">
      <c r="A833" s="19"/>
      <c r="B833" s="19"/>
      <c r="C833" s="19"/>
      <c r="D833" s="19"/>
      <c r="E833" s="19"/>
      <c r="F833" s="19"/>
      <c r="G833" s="19"/>
      <c r="H833" s="19"/>
    </row>
    <row r="834" spans="1:8" ht="12.5">
      <c r="A834" s="19"/>
      <c r="B834" s="19"/>
      <c r="C834" s="19"/>
      <c r="D834" s="19"/>
      <c r="E834" s="19"/>
      <c r="F834" s="19"/>
      <c r="G834" s="19"/>
      <c r="H834" s="19"/>
    </row>
    <row r="835" spans="1:8" ht="12.5">
      <c r="A835" s="19"/>
      <c r="B835" s="19"/>
      <c r="C835" s="19"/>
      <c r="D835" s="19"/>
      <c r="E835" s="19"/>
      <c r="F835" s="19"/>
      <c r="G835" s="19"/>
      <c r="H835" s="19"/>
    </row>
    <row r="836" spans="1:8" ht="12.5">
      <c r="A836" s="19"/>
      <c r="B836" s="19"/>
      <c r="C836" s="19"/>
      <c r="D836" s="19"/>
      <c r="E836" s="19"/>
      <c r="F836" s="19"/>
      <c r="G836" s="19"/>
      <c r="H836" s="19"/>
    </row>
    <row r="837" spans="1:8" ht="12.5">
      <c r="A837" s="19"/>
      <c r="B837" s="19"/>
      <c r="C837" s="19"/>
      <c r="D837" s="19"/>
      <c r="E837" s="19"/>
      <c r="F837" s="19"/>
      <c r="G837" s="19"/>
      <c r="H837" s="19"/>
    </row>
    <row r="838" spans="1:8" ht="12.5">
      <c r="A838" s="19"/>
      <c r="B838" s="19"/>
      <c r="C838" s="19"/>
      <c r="D838" s="19"/>
      <c r="E838" s="19"/>
      <c r="F838" s="19"/>
      <c r="G838" s="19"/>
      <c r="H838" s="19"/>
    </row>
    <row r="839" spans="1:8" ht="12.5">
      <c r="A839" s="19"/>
      <c r="B839" s="19"/>
      <c r="C839" s="19"/>
      <c r="D839" s="19"/>
      <c r="E839" s="19"/>
      <c r="F839" s="19"/>
      <c r="G839" s="19"/>
      <c r="H839" s="19"/>
    </row>
    <row r="840" spans="1:8" ht="12.5">
      <c r="A840" s="19"/>
      <c r="B840" s="19"/>
      <c r="C840" s="19"/>
      <c r="D840" s="19"/>
      <c r="E840" s="19"/>
      <c r="F840" s="19"/>
      <c r="G840" s="19"/>
      <c r="H840" s="19"/>
    </row>
    <row r="841" spans="1:8" ht="12.5">
      <c r="A841" s="19"/>
      <c r="B841" s="19"/>
      <c r="C841" s="19"/>
      <c r="D841" s="19"/>
      <c r="E841" s="19"/>
      <c r="F841" s="19"/>
      <c r="G841" s="19"/>
      <c r="H841" s="19"/>
    </row>
    <row r="842" spans="1:8" ht="12.5">
      <c r="A842" s="19"/>
      <c r="B842" s="19"/>
      <c r="C842" s="19"/>
      <c r="D842" s="19"/>
      <c r="E842" s="19"/>
      <c r="F842" s="19"/>
      <c r="G842" s="19"/>
      <c r="H842" s="19"/>
    </row>
    <row r="843" spans="1:8" ht="12.5">
      <c r="A843" s="19"/>
      <c r="B843" s="19"/>
      <c r="C843" s="19"/>
      <c r="D843" s="19"/>
      <c r="E843" s="19"/>
      <c r="F843" s="19"/>
      <c r="G843" s="19"/>
      <c r="H843" s="19"/>
    </row>
    <row r="844" spans="1:8" ht="12.5">
      <c r="A844" s="19"/>
      <c r="B844" s="19"/>
      <c r="C844" s="19"/>
      <c r="D844" s="19"/>
      <c r="E844" s="19"/>
      <c r="F844" s="19"/>
      <c r="G844" s="19"/>
      <c r="H844" s="19"/>
    </row>
    <row r="845" spans="1:8" ht="12.5">
      <c r="A845" s="19"/>
      <c r="B845" s="19"/>
      <c r="C845" s="19"/>
      <c r="D845" s="19"/>
      <c r="E845" s="19"/>
      <c r="F845" s="19"/>
      <c r="G845" s="19"/>
      <c r="H845" s="19"/>
    </row>
    <row r="846" spans="1:8" ht="12.5">
      <c r="A846" s="19"/>
      <c r="B846" s="19"/>
      <c r="C846" s="19"/>
      <c r="D846" s="19"/>
      <c r="E846" s="19"/>
      <c r="F846" s="19"/>
      <c r="G846" s="19"/>
      <c r="H846" s="19"/>
    </row>
    <row r="847" spans="1:8" ht="12.5">
      <c r="A847" s="19"/>
      <c r="B847" s="19"/>
      <c r="C847" s="19"/>
      <c r="D847" s="19"/>
      <c r="E847" s="19"/>
      <c r="F847" s="19"/>
      <c r="G847" s="19"/>
      <c r="H847" s="19"/>
    </row>
    <row r="848" spans="1:8" ht="12.5">
      <c r="A848" s="19"/>
      <c r="B848" s="19"/>
      <c r="C848" s="19"/>
      <c r="D848" s="19"/>
      <c r="E848" s="19"/>
      <c r="F848" s="19"/>
      <c r="G848" s="19"/>
      <c r="H848" s="19"/>
    </row>
    <row r="849" spans="1:8" ht="12.5">
      <c r="A849" s="19"/>
      <c r="B849" s="19"/>
      <c r="C849" s="19"/>
      <c r="D849" s="19"/>
      <c r="E849" s="19"/>
      <c r="F849" s="19"/>
      <c r="G849" s="19"/>
      <c r="H849" s="19"/>
    </row>
    <row r="850" spans="1:8" ht="12.5">
      <c r="A850" s="19"/>
      <c r="B850" s="19"/>
      <c r="C850" s="19"/>
      <c r="D850" s="19"/>
      <c r="E850" s="19"/>
      <c r="F850" s="19"/>
      <c r="G850" s="19"/>
      <c r="H850" s="19"/>
    </row>
    <row r="851" spans="1:8" ht="12.5">
      <c r="A851" s="19"/>
      <c r="B851" s="19"/>
      <c r="C851" s="19"/>
      <c r="D851" s="19"/>
      <c r="E851" s="19"/>
      <c r="F851" s="19"/>
      <c r="G851" s="19"/>
      <c r="H851" s="19"/>
    </row>
    <row r="852" spans="1:8" ht="12.5">
      <c r="A852" s="19"/>
      <c r="B852" s="19"/>
      <c r="C852" s="19"/>
      <c r="D852" s="19"/>
      <c r="E852" s="19"/>
      <c r="F852" s="19"/>
      <c r="G852" s="19"/>
      <c r="H852" s="19"/>
    </row>
    <row r="853" spans="1:8" ht="12.5">
      <c r="A853" s="19"/>
      <c r="B853" s="19"/>
      <c r="C853" s="19"/>
      <c r="D853" s="19"/>
      <c r="E853" s="19"/>
      <c r="F853" s="19"/>
      <c r="G853" s="19"/>
      <c r="H853" s="19"/>
    </row>
    <row r="854" spans="1:8" ht="12.5">
      <c r="A854" s="19"/>
      <c r="B854" s="19"/>
      <c r="C854" s="19"/>
      <c r="D854" s="19"/>
      <c r="E854" s="19"/>
      <c r="F854" s="19"/>
      <c r="G854" s="19"/>
      <c r="H854" s="19"/>
    </row>
    <row r="855" spans="1:8" ht="12.5">
      <c r="A855" s="19"/>
      <c r="B855" s="19"/>
      <c r="C855" s="19"/>
      <c r="D855" s="19"/>
      <c r="E855" s="19"/>
      <c r="F855" s="19"/>
      <c r="G855" s="19"/>
      <c r="H855" s="19"/>
    </row>
    <row r="856" spans="1:8" ht="12.5">
      <c r="A856" s="19"/>
      <c r="B856" s="19"/>
      <c r="C856" s="19"/>
      <c r="D856" s="19"/>
      <c r="E856" s="19"/>
      <c r="F856" s="19"/>
      <c r="G856" s="19"/>
      <c r="H856" s="19"/>
    </row>
    <row r="857" spans="1:8" ht="12.5">
      <c r="A857" s="19"/>
      <c r="B857" s="19"/>
      <c r="C857" s="19"/>
      <c r="D857" s="19"/>
      <c r="E857" s="19"/>
      <c r="F857" s="19"/>
      <c r="G857" s="19"/>
      <c r="H857" s="19"/>
    </row>
    <row r="858" spans="1:8" ht="12.5">
      <c r="A858" s="19"/>
      <c r="B858" s="19"/>
      <c r="C858" s="19"/>
      <c r="D858" s="19"/>
      <c r="E858" s="19"/>
      <c r="F858" s="19"/>
      <c r="G858" s="19"/>
      <c r="H858" s="19"/>
    </row>
    <row r="859" spans="1:8" ht="12.5">
      <c r="A859" s="19"/>
      <c r="B859" s="19"/>
      <c r="C859" s="19"/>
      <c r="D859" s="19"/>
      <c r="E859" s="19"/>
      <c r="F859" s="19"/>
      <c r="G859" s="19"/>
      <c r="H859" s="19"/>
    </row>
    <row r="860" spans="1:8" ht="12.5">
      <c r="A860" s="19"/>
      <c r="B860" s="19"/>
      <c r="C860" s="19"/>
      <c r="D860" s="19"/>
      <c r="E860" s="19"/>
      <c r="F860" s="19"/>
      <c r="G860" s="19"/>
      <c r="H860" s="19"/>
    </row>
    <row r="861" spans="1:8" ht="12.5">
      <c r="A861" s="19"/>
      <c r="B861" s="19"/>
      <c r="C861" s="19"/>
      <c r="D861" s="19"/>
      <c r="E861" s="19"/>
      <c r="F861" s="19"/>
      <c r="G861" s="19"/>
      <c r="H861" s="19"/>
    </row>
    <row r="862" spans="1:8" ht="12.5">
      <c r="A862" s="19"/>
      <c r="B862" s="19"/>
      <c r="C862" s="19"/>
      <c r="D862" s="19"/>
      <c r="E862" s="19"/>
      <c r="F862" s="19"/>
      <c r="G862" s="19"/>
      <c r="H862" s="19"/>
    </row>
    <row r="863" spans="1:8" ht="12.5">
      <c r="A863" s="19"/>
      <c r="B863" s="19"/>
      <c r="C863" s="19"/>
      <c r="D863" s="19"/>
      <c r="E863" s="19"/>
      <c r="F863" s="19"/>
      <c r="G863" s="19"/>
      <c r="H863" s="19"/>
    </row>
    <row r="864" spans="1:8" ht="12.5">
      <c r="A864" s="19"/>
      <c r="B864" s="19"/>
      <c r="C864" s="19"/>
      <c r="D864" s="19"/>
      <c r="E864" s="19"/>
      <c r="F864" s="19"/>
      <c r="G864" s="19"/>
      <c r="H864" s="19"/>
    </row>
    <row r="865" spans="1:8" ht="12.5">
      <c r="A865" s="19"/>
      <c r="B865" s="19"/>
      <c r="C865" s="19"/>
      <c r="D865" s="19"/>
      <c r="E865" s="19"/>
      <c r="F865" s="19"/>
      <c r="G865" s="19"/>
      <c r="H865" s="19"/>
    </row>
    <row r="866" spans="1:8" ht="12.5">
      <c r="A866" s="19"/>
      <c r="B866" s="19"/>
      <c r="C866" s="19"/>
      <c r="D866" s="19"/>
      <c r="E866" s="19"/>
      <c r="F866" s="19"/>
      <c r="G866" s="19"/>
      <c r="H866" s="19"/>
    </row>
    <row r="867" spans="1:8" ht="12.5">
      <c r="A867" s="19"/>
      <c r="B867" s="19"/>
      <c r="C867" s="19"/>
      <c r="D867" s="19"/>
      <c r="E867" s="19"/>
      <c r="F867" s="19"/>
      <c r="G867" s="19"/>
      <c r="H867" s="19"/>
    </row>
    <row r="868" spans="1:8" ht="12.5">
      <c r="A868" s="19"/>
      <c r="B868" s="19"/>
      <c r="C868" s="19"/>
      <c r="D868" s="19"/>
      <c r="E868" s="19"/>
      <c r="F868" s="19"/>
      <c r="G868" s="19"/>
      <c r="H868" s="19"/>
    </row>
    <row r="869" spans="1:8" ht="12.5">
      <c r="A869" s="19"/>
      <c r="B869" s="19"/>
      <c r="C869" s="19"/>
      <c r="D869" s="19"/>
      <c r="E869" s="19"/>
      <c r="F869" s="19"/>
      <c r="G869" s="19"/>
      <c r="H869" s="19"/>
    </row>
    <row r="870" spans="1:8" ht="12.5">
      <c r="A870" s="19"/>
      <c r="B870" s="19"/>
      <c r="C870" s="19"/>
      <c r="D870" s="19"/>
      <c r="E870" s="19"/>
      <c r="F870" s="19"/>
      <c r="G870" s="19"/>
      <c r="H870" s="19"/>
    </row>
    <row r="871" spans="1:8" ht="12.5">
      <c r="A871" s="19"/>
      <c r="B871" s="19"/>
      <c r="C871" s="19"/>
      <c r="D871" s="19"/>
      <c r="E871" s="19"/>
      <c r="F871" s="19"/>
      <c r="G871" s="19"/>
      <c r="H871" s="19"/>
    </row>
    <row r="872" spans="1:8" ht="12.5">
      <c r="A872" s="19"/>
      <c r="B872" s="19"/>
      <c r="C872" s="19"/>
      <c r="D872" s="19"/>
      <c r="E872" s="19"/>
      <c r="F872" s="19"/>
      <c r="G872" s="19"/>
      <c r="H872" s="19"/>
    </row>
    <row r="873" spans="1:8" ht="12.5">
      <c r="A873" s="19"/>
      <c r="B873" s="19"/>
      <c r="C873" s="19"/>
      <c r="D873" s="19"/>
      <c r="E873" s="19"/>
      <c r="F873" s="19"/>
      <c r="G873" s="19"/>
      <c r="H873" s="19"/>
    </row>
    <row r="874" spans="1:8" ht="12.5">
      <c r="A874" s="19"/>
      <c r="B874" s="19"/>
      <c r="C874" s="19"/>
      <c r="D874" s="19"/>
      <c r="E874" s="19"/>
      <c r="F874" s="19"/>
      <c r="G874" s="19"/>
      <c r="H874" s="19"/>
    </row>
    <row r="875" spans="1:8" ht="12.5">
      <c r="A875" s="19"/>
      <c r="B875" s="19"/>
      <c r="C875" s="19"/>
      <c r="D875" s="19"/>
      <c r="E875" s="19"/>
      <c r="F875" s="19"/>
      <c r="G875" s="19"/>
      <c r="H875" s="19"/>
    </row>
    <row r="876" spans="1:8" ht="12.5">
      <c r="A876" s="19"/>
      <c r="B876" s="19"/>
      <c r="C876" s="19"/>
      <c r="D876" s="19"/>
      <c r="E876" s="19"/>
      <c r="F876" s="19"/>
      <c r="G876" s="19"/>
      <c r="H876" s="19"/>
    </row>
    <row r="877" spans="1:8" ht="12.5">
      <c r="A877" s="19"/>
      <c r="B877" s="19"/>
      <c r="C877" s="19"/>
      <c r="D877" s="19"/>
      <c r="E877" s="19"/>
      <c r="F877" s="19"/>
      <c r="G877" s="19"/>
      <c r="H877" s="19"/>
    </row>
    <row r="878" spans="1:8" ht="12.5">
      <c r="A878" s="19"/>
      <c r="B878" s="19"/>
      <c r="C878" s="19"/>
      <c r="D878" s="19"/>
      <c r="E878" s="19"/>
      <c r="F878" s="19"/>
      <c r="G878" s="19"/>
      <c r="H878" s="19"/>
    </row>
    <row r="879" spans="1:8" ht="12.5">
      <c r="A879" s="19"/>
      <c r="B879" s="19"/>
      <c r="C879" s="19"/>
      <c r="D879" s="19"/>
      <c r="E879" s="19"/>
      <c r="F879" s="19"/>
      <c r="G879" s="19"/>
      <c r="H879" s="19"/>
    </row>
    <row r="880" spans="1:8" ht="12.5">
      <c r="A880" s="19"/>
      <c r="B880" s="19"/>
      <c r="C880" s="19"/>
      <c r="D880" s="19"/>
      <c r="E880" s="19"/>
      <c r="F880" s="19"/>
      <c r="G880" s="19"/>
      <c r="H880" s="19"/>
    </row>
    <row r="881" spans="1:8" ht="12.5">
      <c r="A881" s="19"/>
      <c r="B881" s="19"/>
      <c r="C881" s="19"/>
      <c r="D881" s="19"/>
      <c r="E881" s="19"/>
      <c r="F881" s="19"/>
      <c r="G881" s="19"/>
      <c r="H881" s="19"/>
    </row>
    <row r="882" spans="1:8" ht="12.5">
      <c r="A882" s="19"/>
      <c r="B882" s="19"/>
      <c r="C882" s="19"/>
      <c r="D882" s="19"/>
      <c r="E882" s="19"/>
      <c r="F882" s="19"/>
      <c r="G882" s="19"/>
      <c r="H882" s="19"/>
    </row>
    <row r="883" spans="1:8" ht="12.5">
      <c r="A883" s="19"/>
      <c r="B883" s="19"/>
      <c r="C883" s="19"/>
      <c r="D883" s="19"/>
      <c r="E883" s="19"/>
      <c r="F883" s="19"/>
      <c r="G883" s="19"/>
      <c r="H883" s="19"/>
    </row>
    <row r="884" spans="1:8" ht="12.5">
      <c r="A884" s="19"/>
      <c r="B884" s="19"/>
      <c r="C884" s="19"/>
      <c r="D884" s="19"/>
      <c r="E884" s="19"/>
      <c r="F884" s="19"/>
      <c r="G884" s="19"/>
      <c r="H884" s="19"/>
    </row>
    <row r="885" spans="1:8" ht="12.5">
      <c r="A885" s="19"/>
      <c r="B885" s="19"/>
      <c r="C885" s="19"/>
      <c r="D885" s="19"/>
      <c r="E885" s="19"/>
      <c r="F885" s="19"/>
      <c r="G885" s="19"/>
      <c r="H885" s="19"/>
    </row>
    <row r="886" spans="1:8" ht="12.5">
      <c r="A886" s="19"/>
      <c r="B886" s="19"/>
      <c r="C886" s="19"/>
      <c r="D886" s="19"/>
      <c r="E886" s="19"/>
      <c r="F886" s="19"/>
      <c r="G886" s="19"/>
      <c r="H886" s="19"/>
    </row>
    <row r="887" spans="1:8" ht="12.5">
      <c r="A887" s="19"/>
      <c r="B887" s="19"/>
      <c r="C887" s="19"/>
      <c r="D887" s="19"/>
      <c r="E887" s="19"/>
      <c r="F887" s="19"/>
      <c r="G887" s="19"/>
      <c r="H887" s="19"/>
    </row>
    <row r="888" spans="1:8" ht="12.5">
      <c r="A888" s="19"/>
      <c r="B888" s="19"/>
      <c r="C888" s="19"/>
      <c r="D888" s="19"/>
      <c r="E888" s="19"/>
      <c r="F888" s="19"/>
      <c r="G888" s="19"/>
      <c r="H888" s="19"/>
    </row>
    <row r="889" spans="1:8" ht="12.5">
      <c r="A889" s="19"/>
      <c r="B889" s="19"/>
      <c r="C889" s="19"/>
      <c r="D889" s="19"/>
      <c r="E889" s="19"/>
      <c r="F889" s="19"/>
      <c r="G889" s="19"/>
      <c r="H889" s="19"/>
    </row>
    <row r="890" spans="1:8" ht="12.5">
      <c r="A890" s="19"/>
      <c r="B890" s="19"/>
      <c r="C890" s="19"/>
      <c r="D890" s="19"/>
      <c r="E890" s="19"/>
      <c r="F890" s="19"/>
      <c r="G890" s="19"/>
      <c r="H890" s="19"/>
    </row>
    <row r="891" spans="1:8" ht="12.5">
      <c r="A891" s="19"/>
      <c r="B891" s="19"/>
      <c r="C891" s="19"/>
      <c r="D891" s="19"/>
      <c r="E891" s="19"/>
      <c r="F891" s="19"/>
      <c r="G891" s="19"/>
      <c r="H891" s="19"/>
    </row>
    <row r="892" spans="1:8" ht="12.5">
      <c r="A892" s="19"/>
      <c r="B892" s="19"/>
      <c r="C892" s="19"/>
      <c r="D892" s="19"/>
      <c r="E892" s="19"/>
      <c r="F892" s="19"/>
      <c r="G892" s="19"/>
      <c r="H892" s="19"/>
    </row>
    <row r="893" spans="1:8" ht="12.5">
      <c r="A893" s="19"/>
      <c r="B893" s="19"/>
      <c r="C893" s="19"/>
      <c r="D893" s="19"/>
      <c r="E893" s="19"/>
      <c r="F893" s="19"/>
      <c r="G893" s="19"/>
      <c r="H893" s="19"/>
    </row>
    <row r="894" spans="1:8" ht="12.5">
      <c r="A894" s="19"/>
      <c r="B894" s="19"/>
      <c r="C894" s="19"/>
      <c r="D894" s="19"/>
      <c r="E894" s="19"/>
      <c r="F894" s="19"/>
      <c r="G894" s="19"/>
      <c r="H894" s="19"/>
    </row>
    <row r="895" spans="1:8" ht="12.5">
      <c r="A895" s="19"/>
      <c r="B895" s="19"/>
      <c r="C895" s="19"/>
      <c r="D895" s="19"/>
      <c r="E895" s="19"/>
      <c r="F895" s="19"/>
      <c r="G895" s="19"/>
      <c r="H895" s="19"/>
    </row>
    <row r="896" spans="1:8" ht="12.5">
      <c r="A896" s="19"/>
      <c r="B896" s="19"/>
      <c r="C896" s="19"/>
      <c r="D896" s="19"/>
      <c r="E896" s="19"/>
      <c r="F896" s="19"/>
      <c r="G896" s="19"/>
      <c r="H896" s="19"/>
    </row>
    <row r="897" spans="1:8" ht="12.5">
      <c r="A897" s="19"/>
      <c r="B897" s="19"/>
      <c r="C897" s="19"/>
      <c r="D897" s="19"/>
      <c r="E897" s="19"/>
      <c r="F897" s="19"/>
      <c r="G897" s="19"/>
      <c r="H897" s="19"/>
    </row>
    <row r="898" spans="1:8" ht="12.5">
      <c r="A898" s="19"/>
      <c r="B898" s="19"/>
      <c r="C898" s="19"/>
      <c r="D898" s="19"/>
      <c r="E898" s="19"/>
      <c r="F898" s="19"/>
      <c r="G898" s="19"/>
      <c r="H898" s="19"/>
    </row>
    <row r="899" spans="1:8" ht="12.5">
      <c r="A899" s="19"/>
      <c r="B899" s="19"/>
      <c r="C899" s="19"/>
      <c r="D899" s="19"/>
      <c r="E899" s="19"/>
      <c r="F899" s="19"/>
      <c r="G899" s="19"/>
      <c r="H899" s="19"/>
    </row>
    <row r="900" spans="1:8" ht="12.5">
      <c r="A900" s="19"/>
      <c r="B900" s="19"/>
      <c r="C900" s="19"/>
      <c r="D900" s="19"/>
      <c r="E900" s="19"/>
      <c r="F900" s="19"/>
      <c r="G900" s="19"/>
      <c r="H900" s="19"/>
    </row>
    <row r="901" spans="1:8" ht="12.5">
      <c r="A901" s="19"/>
      <c r="B901" s="19"/>
      <c r="C901" s="19"/>
      <c r="D901" s="19"/>
      <c r="E901" s="19"/>
      <c r="F901" s="19"/>
      <c r="G901" s="19"/>
      <c r="H901" s="19"/>
    </row>
    <row r="902" spans="1:8" ht="12.5">
      <c r="A902" s="19"/>
      <c r="B902" s="19"/>
      <c r="C902" s="19"/>
      <c r="D902" s="19"/>
      <c r="E902" s="19"/>
      <c r="F902" s="19"/>
      <c r="G902" s="19"/>
      <c r="H902" s="19"/>
    </row>
    <row r="903" spans="1:8" ht="12.5">
      <c r="A903" s="19"/>
      <c r="B903" s="19"/>
      <c r="C903" s="19"/>
      <c r="D903" s="19"/>
      <c r="E903" s="19"/>
      <c r="F903" s="19"/>
      <c r="G903" s="19"/>
      <c r="H903" s="19"/>
    </row>
    <row r="904" spans="1:8" ht="12.5">
      <c r="A904" s="19"/>
      <c r="B904" s="19"/>
      <c r="C904" s="19"/>
      <c r="D904" s="19"/>
      <c r="E904" s="19"/>
      <c r="F904" s="19"/>
      <c r="G904" s="19"/>
      <c r="H904" s="19"/>
    </row>
    <row r="905" spans="1:8" ht="12.5">
      <c r="A905" s="19"/>
      <c r="B905" s="19"/>
      <c r="C905" s="19"/>
      <c r="D905" s="19"/>
      <c r="E905" s="19"/>
      <c r="F905" s="19"/>
      <c r="G905" s="19"/>
      <c r="H905" s="19"/>
    </row>
    <row r="906" spans="1:8" ht="12.5">
      <c r="A906" s="19"/>
      <c r="B906" s="19"/>
      <c r="C906" s="19"/>
      <c r="D906" s="19"/>
      <c r="E906" s="19"/>
      <c r="F906" s="19"/>
      <c r="G906" s="19"/>
      <c r="H906" s="19"/>
    </row>
    <row r="907" spans="1:8" ht="12.5">
      <c r="A907" s="19"/>
      <c r="B907" s="19"/>
      <c r="C907" s="19"/>
      <c r="D907" s="19"/>
      <c r="E907" s="19"/>
      <c r="F907" s="19"/>
      <c r="G907" s="19"/>
      <c r="H907" s="19"/>
    </row>
    <row r="908" spans="1:8" ht="12.5">
      <c r="A908" s="19"/>
      <c r="B908" s="19"/>
      <c r="C908" s="19"/>
      <c r="D908" s="19"/>
      <c r="E908" s="19"/>
      <c r="F908" s="19"/>
      <c r="G908" s="19"/>
      <c r="H908" s="19"/>
    </row>
    <row r="909" spans="1:8" ht="12.5">
      <c r="A909" s="19"/>
      <c r="B909" s="19"/>
      <c r="C909" s="19"/>
      <c r="D909" s="19"/>
      <c r="E909" s="19"/>
      <c r="F909" s="19"/>
      <c r="G909" s="19"/>
      <c r="H909" s="19"/>
    </row>
    <row r="910" spans="1:8" ht="12.5">
      <c r="A910" s="19"/>
      <c r="B910" s="19"/>
      <c r="C910" s="19"/>
      <c r="D910" s="19"/>
      <c r="E910" s="19"/>
      <c r="F910" s="19"/>
      <c r="G910" s="19"/>
      <c r="H910" s="19"/>
    </row>
    <row r="911" spans="1:8" ht="12.5">
      <c r="A911" s="19"/>
      <c r="B911" s="19"/>
      <c r="C911" s="19"/>
      <c r="D911" s="19"/>
      <c r="E911" s="19"/>
      <c r="F911" s="19"/>
      <c r="G911" s="19"/>
      <c r="H911" s="19"/>
    </row>
    <row r="912" spans="1:8" ht="12.5">
      <c r="A912" s="19"/>
      <c r="B912" s="19"/>
      <c r="C912" s="19"/>
      <c r="D912" s="19"/>
      <c r="E912" s="19"/>
      <c r="F912" s="19"/>
      <c r="G912" s="19"/>
      <c r="H912" s="19"/>
    </row>
    <row r="913" spans="1:8" ht="12.5">
      <c r="A913" s="19"/>
      <c r="B913" s="19"/>
      <c r="C913" s="19"/>
      <c r="D913" s="19"/>
      <c r="E913" s="19"/>
      <c r="F913" s="19"/>
      <c r="G913" s="19"/>
      <c r="H913" s="19"/>
    </row>
    <row r="914" spans="1:8" ht="12.5">
      <c r="A914" s="19"/>
      <c r="B914" s="19"/>
      <c r="C914" s="19"/>
      <c r="D914" s="19"/>
      <c r="E914" s="19"/>
      <c r="F914" s="19"/>
      <c r="G914" s="19"/>
      <c r="H914" s="19"/>
    </row>
    <row r="915" spans="1:8" ht="12.5">
      <c r="A915" s="19"/>
      <c r="B915" s="19"/>
      <c r="C915" s="19"/>
      <c r="D915" s="19"/>
      <c r="E915" s="19"/>
      <c r="F915" s="19"/>
      <c r="G915" s="19"/>
      <c r="H915" s="19"/>
    </row>
    <row r="916" spans="1:8" ht="12.5">
      <c r="A916" s="19"/>
      <c r="B916" s="19"/>
      <c r="C916" s="19"/>
      <c r="D916" s="19"/>
      <c r="E916" s="19"/>
      <c r="F916" s="19"/>
      <c r="G916" s="19"/>
      <c r="H916" s="19"/>
    </row>
    <row r="917" spans="1:8" ht="12.5">
      <c r="A917" s="19"/>
      <c r="B917" s="19"/>
      <c r="C917" s="19"/>
      <c r="D917" s="19"/>
      <c r="E917" s="19"/>
      <c r="F917" s="19"/>
      <c r="G917" s="19"/>
      <c r="H917" s="19"/>
    </row>
    <row r="918" spans="1:8" ht="12.5">
      <c r="A918" s="19"/>
      <c r="B918" s="19"/>
      <c r="C918" s="19"/>
      <c r="D918" s="19"/>
      <c r="E918" s="19"/>
      <c r="F918" s="19"/>
      <c r="G918" s="19"/>
      <c r="H918" s="19"/>
    </row>
    <row r="919" spans="1:8" ht="12.5">
      <c r="A919" s="19"/>
      <c r="B919" s="19"/>
      <c r="C919" s="19"/>
      <c r="D919" s="19"/>
      <c r="E919" s="19"/>
      <c r="F919" s="19"/>
      <c r="G919" s="19"/>
      <c r="H919" s="19"/>
    </row>
    <row r="920" spans="1:8" ht="12.5">
      <c r="A920" s="19"/>
      <c r="B920" s="19"/>
      <c r="C920" s="19"/>
      <c r="D920" s="19"/>
      <c r="E920" s="19"/>
      <c r="F920" s="19"/>
      <c r="G920" s="19"/>
      <c r="H920" s="19"/>
    </row>
    <row r="921" spans="1:8" ht="12.5">
      <c r="A921" s="19"/>
      <c r="B921" s="19"/>
      <c r="C921" s="19"/>
      <c r="D921" s="19"/>
      <c r="E921" s="19"/>
      <c r="F921" s="19"/>
      <c r="G921" s="19"/>
      <c r="H921" s="19"/>
    </row>
    <row r="922" spans="1:8" ht="12.5">
      <c r="A922" s="19"/>
      <c r="B922" s="19"/>
      <c r="C922" s="19"/>
      <c r="D922" s="19"/>
      <c r="E922" s="19"/>
      <c r="F922" s="19"/>
      <c r="G922" s="19"/>
      <c r="H922" s="19"/>
    </row>
    <row r="923" spans="1:8" ht="12.5">
      <c r="A923" s="19"/>
      <c r="B923" s="19"/>
      <c r="C923" s="19"/>
      <c r="D923" s="19"/>
      <c r="E923" s="19"/>
      <c r="F923" s="19"/>
      <c r="G923" s="19"/>
      <c r="H923" s="19"/>
    </row>
    <row r="924" spans="1:8" ht="12.5">
      <c r="A924" s="19"/>
      <c r="B924" s="19"/>
      <c r="C924" s="19"/>
      <c r="D924" s="19"/>
      <c r="E924" s="19"/>
      <c r="F924" s="19"/>
      <c r="G924" s="19"/>
      <c r="H924" s="19"/>
    </row>
    <row r="925" spans="1:8" ht="12.5">
      <c r="A925" s="19"/>
      <c r="B925" s="19"/>
      <c r="C925" s="19"/>
      <c r="D925" s="19"/>
      <c r="E925" s="19"/>
      <c r="F925" s="19"/>
      <c r="G925" s="19"/>
      <c r="H925" s="19"/>
    </row>
    <row r="926" spans="1:8" ht="12.5">
      <c r="A926" s="19"/>
      <c r="B926" s="19"/>
      <c r="C926" s="19"/>
      <c r="D926" s="19"/>
      <c r="E926" s="19"/>
      <c r="F926" s="19"/>
      <c r="G926" s="19"/>
      <c r="H926" s="19"/>
    </row>
    <row r="927" spans="1:8" ht="12.5">
      <c r="A927" s="19"/>
      <c r="B927" s="19"/>
      <c r="C927" s="19"/>
      <c r="D927" s="19"/>
      <c r="E927" s="19"/>
      <c r="F927" s="19"/>
      <c r="G927" s="19"/>
      <c r="H927" s="19"/>
    </row>
    <row r="928" spans="1:8" ht="12.5">
      <c r="A928" s="19"/>
      <c r="B928" s="19"/>
      <c r="C928" s="19"/>
      <c r="D928" s="19"/>
      <c r="E928" s="19"/>
      <c r="F928" s="19"/>
      <c r="G928" s="19"/>
      <c r="H928" s="19"/>
    </row>
    <row r="929" spans="1:8" ht="12.5">
      <c r="A929" s="19"/>
      <c r="B929" s="19"/>
      <c r="C929" s="19"/>
      <c r="D929" s="19"/>
      <c r="E929" s="19"/>
      <c r="F929" s="19"/>
      <c r="G929" s="19"/>
      <c r="H929" s="19"/>
    </row>
    <row r="930" spans="1:8" ht="12.5">
      <c r="A930" s="19"/>
      <c r="B930" s="19"/>
      <c r="C930" s="19"/>
      <c r="D930" s="19"/>
      <c r="E930" s="19"/>
      <c r="F930" s="19"/>
      <c r="G930" s="19"/>
      <c r="H930" s="19"/>
    </row>
    <row r="931" spans="1:8" ht="12.5">
      <c r="A931" s="19"/>
      <c r="B931" s="19"/>
      <c r="C931" s="19"/>
      <c r="D931" s="19"/>
      <c r="E931" s="19"/>
      <c r="F931" s="19"/>
      <c r="G931" s="19"/>
      <c r="H931" s="19"/>
    </row>
    <row r="932" spans="1:8" ht="12.5">
      <c r="A932" s="19"/>
      <c r="B932" s="19"/>
      <c r="C932" s="19"/>
      <c r="D932" s="19"/>
      <c r="E932" s="19"/>
      <c r="F932" s="19"/>
      <c r="G932" s="19"/>
      <c r="H932" s="19"/>
    </row>
    <row r="933" spans="1:8" ht="12.5">
      <c r="A933" s="19"/>
      <c r="B933" s="19"/>
      <c r="C933" s="19"/>
      <c r="D933" s="19"/>
      <c r="E933" s="19"/>
      <c r="F933" s="19"/>
      <c r="G933" s="19"/>
      <c r="H933" s="19"/>
    </row>
    <row r="934" spans="1:8" ht="12.5">
      <c r="A934" s="19"/>
      <c r="B934" s="19"/>
      <c r="C934" s="19"/>
      <c r="D934" s="19"/>
      <c r="E934" s="19"/>
      <c r="F934" s="19"/>
      <c r="G934" s="19"/>
      <c r="H934" s="19"/>
    </row>
    <row r="935" spans="1:8" ht="12.5">
      <c r="A935" s="19"/>
      <c r="B935" s="19"/>
      <c r="C935" s="19"/>
      <c r="D935" s="19"/>
      <c r="E935" s="19"/>
      <c r="F935" s="19"/>
      <c r="G935" s="19"/>
      <c r="H935" s="19"/>
    </row>
    <row r="936" spans="1:8" ht="12.5">
      <c r="A936" s="19"/>
      <c r="B936" s="19"/>
      <c r="C936" s="19"/>
      <c r="D936" s="19"/>
      <c r="E936" s="19"/>
      <c r="F936" s="19"/>
      <c r="G936" s="19"/>
      <c r="H936" s="19"/>
    </row>
    <row r="937" spans="1:8" ht="12.5">
      <c r="A937" s="19"/>
      <c r="B937" s="19"/>
      <c r="C937" s="19"/>
      <c r="D937" s="19"/>
      <c r="E937" s="19"/>
      <c r="F937" s="19"/>
      <c r="G937" s="19"/>
      <c r="H937" s="19"/>
    </row>
    <row r="938" spans="1:8" ht="12.5">
      <c r="A938" s="19"/>
      <c r="B938" s="19"/>
      <c r="C938" s="19"/>
      <c r="D938" s="19"/>
      <c r="E938" s="19"/>
      <c r="F938" s="19"/>
      <c r="G938" s="19"/>
      <c r="H938" s="19"/>
    </row>
    <row r="939" spans="1:8" ht="12.5">
      <c r="A939" s="19"/>
      <c r="B939" s="19"/>
      <c r="C939" s="19"/>
      <c r="D939" s="19"/>
      <c r="E939" s="19"/>
      <c r="F939" s="19"/>
      <c r="G939" s="19"/>
      <c r="H939" s="19"/>
    </row>
    <row r="940" spans="1:8" ht="12.5">
      <c r="A940" s="19"/>
      <c r="B940" s="19"/>
      <c r="C940" s="19"/>
      <c r="D940" s="19"/>
      <c r="E940" s="19"/>
      <c r="F940" s="19"/>
      <c r="G940" s="19"/>
      <c r="H940" s="19"/>
    </row>
    <row r="941" spans="1:8" ht="12.5">
      <c r="A941" s="19"/>
      <c r="B941" s="19"/>
      <c r="C941" s="19"/>
      <c r="D941" s="19"/>
      <c r="E941" s="19"/>
      <c r="F941" s="19"/>
      <c r="G941" s="19"/>
      <c r="H941" s="19"/>
    </row>
    <row r="942" spans="1:8" ht="12.5">
      <c r="A942" s="19"/>
      <c r="B942" s="19"/>
      <c r="C942" s="19"/>
      <c r="D942" s="19"/>
      <c r="E942" s="19"/>
      <c r="F942" s="19"/>
      <c r="G942" s="19"/>
      <c r="H942" s="19"/>
    </row>
    <row r="943" spans="1:8" ht="12.5">
      <c r="A943" s="19"/>
      <c r="B943" s="19"/>
      <c r="C943" s="19"/>
      <c r="D943" s="19"/>
      <c r="E943" s="19"/>
      <c r="F943" s="19"/>
      <c r="G943" s="19"/>
      <c r="H943" s="19"/>
    </row>
    <row r="944" spans="1:8" ht="12.5">
      <c r="A944" s="19"/>
      <c r="B944" s="19"/>
      <c r="C944" s="19"/>
      <c r="D944" s="19"/>
      <c r="E944" s="19"/>
      <c r="F944" s="19"/>
      <c r="G944" s="19"/>
      <c r="H944" s="19"/>
    </row>
    <row r="945" spans="1:8" ht="12.5">
      <c r="A945" s="19"/>
      <c r="B945" s="19"/>
      <c r="C945" s="19"/>
      <c r="D945" s="19"/>
      <c r="E945" s="19"/>
      <c r="F945" s="19"/>
      <c r="G945" s="19"/>
      <c r="H945" s="19"/>
    </row>
    <row r="946" spans="1:8" ht="12.5">
      <c r="A946" s="19"/>
      <c r="B946" s="19"/>
      <c r="C946" s="19"/>
      <c r="D946" s="19"/>
      <c r="E946" s="19"/>
      <c r="F946" s="19"/>
      <c r="G946" s="19"/>
      <c r="H946" s="19"/>
    </row>
    <row r="947" spans="1:8" ht="12.5">
      <c r="A947" s="19"/>
      <c r="B947" s="19"/>
      <c r="C947" s="19"/>
      <c r="D947" s="19"/>
      <c r="E947" s="19"/>
      <c r="F947" s="19"/>
      <c r="G947" s="19"/>
      <c r="H947" s="19"/>
    </row>
    <row r="948" spans="1:8" ht="12.5">
      <c r="A948" s="19"/>
      <c r="B948" s="19"/>
      <c r="C948" s="19"/>
      <c r="D948" s="19"/>
      <c r="E948" s="19"/>
      <c r="F948" s="19"/>
      <c r="G948" s="19"/>
      <c r="H948" s="19"/>
    </row>
    <row r="949" spans="1:8" ht="12.5">
      <c r="A949" s="19"/>
      <c r="B949" s="19"/>
      <c r="C949" s="19"/>
      <c r="D949" s="19"/>
      <c r="E949" s="19"/>
      <c r="F949" s="19"/>
      <c r="G949" s="19"/>
      <c r="H949" s="19"/>
    </row>
    <row r="950" spans="1:8" ht="12.5">
      <c r="A950" s="19"/>
      <c r="B950" s="19"/>
      <c r="C950" s="19"/>
      <c r="D950" s="19"/>
      <c r="E950" s="19"/>
      <c r="F950" s="19"/>
      <c r="G950" s="19"/>
      <c r="H950" s="19"/>
    </row>
    <row r="951" spans="1:8" ht="12.5">
      <c r="A951" s="19"/>
      <c r="B951" s="19"/>
      <c r="C951" s="19"/>
      <c r="D951" s="19"/>
      <c r="E951" s="19"/>
      <c r="F951" s="19"/>
      <c r="G951" s="19"/>
      <c r="H951" s="19"/>
    </row>
    <row r="952" spans="1:8" ht="12.5">
      <c r="A952" s="19"/>
      <c r="B952" s="19"/>
      <c r="C952" s="19"/>
      <c r="D952" s="19"/>
      <c r="E952" s="19"/>
      <c r="F952" s="19"/>
      <c r="G952" s="19"/>
      <c r="H952" s="19"/>
    </row>
    <row r="953" spans="1:8" ht="12.5">
      <c r="A953" s="19"/>
      <c r="B953" s="19"/>
      <c r="C953" s="19"/>
      <c r="D953" s="19"/>
      <c r="E953" s="19"/>
      <c r="F953" s="19"/>
      <c r="G953" s="19"/>
      <c r="H953" s="19"/>
    </row>
    <row r="954" spans="1:8" ht="12.5">
      <c r="A954" s="19"/>
      <c r="B954" s="19"/>
      <c r="C954" s="19"/>
      <c r="D954" s="19"/>
      <c r="E954" s="19"/>
      <c r="F954" s="19"/>
      <c r="G954" s="19"/>
      <c r="H954" s="19"/>
    </row>
    <row r="955" spans="1:8" ht="12.5">
      <c r="A955" s="19"/>
      <c r="B955" s="19"/>
      <c r="C955" s="19"/>
      <c r="D955" s="19"/>
      <c r="E955" s="19"/>
      <c r="F955" s="19"/>
      <c r="G955" s="19"/>
      <c r="H955" s="19"/>
    </row>
    <row r="956" spans="1:8" ht="12.5">
      <c r="A956" s="19"/>
      <c r="B956" s="19"/>
      <c r="C956" s="19"/>
      <c r="D956" s="19"/>
      <c r="E956" s="19"/>
      <c r="F956" s="19"/>
      <c r="G956" s="19"/>
      <c r="H956" s="19"/>
    </row>
    <row r="957" spans="1:8" ht="12.5">
      <c r="A957" s="19"/>
      <c r="B957" s="19"/>
      <c r="C957" s="19"/>
      <c r="D957" s="19"/>
      <c r="E957" s="19"/>
      <c r="F957" s="19"/>
      <c r="G957" s="19"/>
      <c r="H957" s="19"/>
    </row>
    <row r="958" spans="1:8" ht="12.5">
      <c r="A958" s="19"/>
      <c r="B958" s="19"/>
      <c r="C958" s="19"/>
      <c r="D958" s="19"/>
      <c r="E958" s="19"/>
      <c r="F958" s="19"/>
      <c r="G958" s="19"/>
      <c r="H958" s="19"/>
    </row>
    <row r="959" spans="1:8" ht="12.5">
      <c r="A959" s="19"/>
      <c r="B959" s="19"/>
      <c r="C959" s="19"/>
      <c r="D959" s="19"/>
      <c r="E959" s="19"/>
      <c r="F959" s="19"/>
      <c r="G959" s="19"/>
      <c r="H959" s="19"/>
    </row>
    <row r="960" spans="1:8" ht="12.5">
      <c r="A960" s="19"/>
      <c r="B960" s="19"/>
      <c r="C960" s="19"/>
      <c r="D960" s="19"/>
      <c r="E960" s="19"/>
      <c r="F960" s="19"/>
      <c r="G960" s="19"/>
      <c r="H960" s="19"/>
    </row>
    <row r="961" spans="1:8" ht="12.5">
      <c r="A961" s="19"/>
      <c r="B961" s="19"/>
      <c r="C961" s="19"/>
      <c r="D961" s="19"/>
      <c r="E961" s="19"/>
      <c r="F961" s="19"/>
      <c r="G961" s="19"/>
      <c r="H961" s="19"/>
    </row>
    <row r="962" spans="1:8" ht="12.5">
      <c r="A962" s="19"/>
      <c r="B962" s="19"/>
      <c r="C962" s="19"/>
      <c r="D962" s="19"/>
      <c r="E962" s="19"/>
      <c r="F962" s="19"/>
      <c r="G962" s="19"/>
      <c r="H962" s="19"/>
    </row>
    <row r="963" spans="1:8" ht="12.5">
      <c r="A963" s="19"/>
      <c r="B963" s="19"/>
      <c r="C963" s="19"/>
      <c r="D963" s="19"/>
      <c r="E963" s="19"/>
      <c r="F963" s="19"/>
      <c r="G963" s="19"/>
      <c r="H963" s="19"/>
    </row>
    <row r="964" spans="1:8" ht="12.5">
      <c r="A964" s="19"/>
      <c r="B964" s="19"/>
      <c r="C964" s="19"/>
      <c r="D964" s="19"/>
      <c r="E964" s="19"/>
      <c r="F964" s="19"/>
      <c r="G964" s="19"/>
      <c r="H964" s="19"/>
    </row>
    <row r="965" spans="1:8" ht="12.5">
      <c r="A965" s="19"/>
      <c r="B965" s="19"/>
      <c r="C965" s="19"/>
      <c r="D965" s="19"/>
      <c r="E965" s="19"/>
      <c r="F965" s="19"/>
      <c r="G965" s="19"/>
      <c r="H965" s="19"/>
    </row>
    <row r="966" spans="1:8" ht="12.5">
      <c r="A966" s="19"/>
      <c r="B966" s="19"/>
      <c r="C966" s="19"/>
      <c r="D966" s="19"/>
      <c r="E966" s="19"/>
      <c r="F966" s="19"/>
      <c r="G966" s="19"/>
      <c r="H966" s="19"/>
    </row>
    <row r="967" spans="1:8" ht="12.5">
      <c r="A967" s="19"/>
      <c r="B967" s="19"/>
      <c r="C967" s="19"/>
      <c r="D967" s="19"/>
      <c r="E967" s="19"/>
      <c r="F967" s="19"/>
      <c r="G967" s="19"/>
      <c r="H967" s="19"/>
    </row>
    <row r="968" spans="1:8" ht="12.5">
      <c r="A968" s="19"/>
      <c r="B968" s="19"/>
      <c r="C968" s="19"/>
      <c r="D968" s="19"/>
      <c r="E968" s="19"/>
      <c r="F968" s="19"/>
      <c r="G968" s="19"/>
      <c r="H968" s="19"/>
    </row>
    <row r="969" spans="1:8" ht="12.5">
      <c r="A969" s="19"/>
      <c r="B969" s="19"/>
      <c r="C969" s="19"/>
      <c r="D969" s="19"/>
      <c r="E969" s="19"/>
      <c r="F969" s="19"/>
      <c r="G969" s="19"/>
      <c r="H969" s="19"/>
    </row>
    <row r="970" spans="1:8" ht="12.5">
      <c r="A970" s="19"/>
      <c r="B970" s="19"/>
      <c r="C970" s="19"/>
      <c r="D970" s="19"/>
      <c r="E970" s="19"/>
      <c r="F970" s="19"/>
      <c r="G970" s="19"/>
      <c r="H970" s="19"/>
    </row>
    <row r="971" spans="1:8" ht="12.5">
      <c r="A971" s="19"/>
      <c r="B971" s="19"/>
      <c r="C971" s="19"/>
      <c r="D971" s="19"/>
      <c r="E971" s="19"/>
      <c r="F971" s="19"/>
      <c r="G971" s="19"/>
      <c r="H971" s="19"/>
    </row>
    <row r="972" spans="1:8" ht="12.5">
      <c r="A972" s="19"/>
      <c r="B972" s="19"/>
      <c r="C972" s="19"/>
      <c r="D972" s="19"/>
      <c r="E972" s="19"/>
      <c r="F972" s="19"/>
      <c r="G972" s="19"/>
      <c r="H972" s="19"/>
    </row>
    <row r="973" spans="1:8" ht="12.5">
      <c r="A973" s="19"/>
      <c r="B973" s="19"/>
      <c r="C973" s="19"/>
      <c r="D973" s="19"/>
      <c r="E973" s="19"/>
      <c r="F973" s="19"/>
      <c r="G973" s="19"/>
      <c r="H973" s="19"/>
    </row>
    <row r="974" spans="1:8" ht="12.5">
      <c r="A974" s="19"/>
      <c r="B974" s="19"/>
      <c r="C974" s="19"/>
      <c r="D974" s="19"/>
      <c r="E974" s="19"/>
      <c r="F974" s="19"/>
      <c r="G974" s="19"/>
      <c r="H974" s="19"/>
    </row>
    <row r="975" spans="1:8" ht="12.5">
      <c r="A975" s="19"/>
      <c r="B975" s="19"/>
      <c r="C975" s="19"/>
      <c r="D975" s="19"/>
      <c r="E975" s="19"/>
      <c r="F975" s="19"/>
      <c r="G975" s="19"/>
      <c r="H975" s="19"/>
    </row>
    <row r="976" spans="1:8" ht="12.5">
      <c r="A976" s="19"/>
      <c r="B976" s="19"/>
      <c r="C976" s="19"/>
      <c r="D976" s="19"/>
      <c r="E976" s="19"/>
      <c r="F976" s="19"/>
      <c r="G976" s="19"/>
      <c r="H976" s="19"/>
    </row>
    <row r="977" spans="1:8" ht="12.5">
      <c r="A977" s="19"/>
      <c r="B977" s="19"/>
      <c r="C977" s="19"/>
      <c r="D977" s="19"/>
      <c r="E977" s="19"/>
      <c r="F977" s="19"/>
      <c r="G977" s="19"/>
      <c r="H977" s="19"/>
    </row>
    <row r="978" spans="1:8" ht="12.5">
      <c r="A978" s="19"/>
      <c r="B978" s="19"/>
      <c r="C978" s="19"/>
      <c r="D978" s="19"/>
      <c r="E978" s="19"/>
      <c r="F978" s="19"/>
      <c r="G978" s="19"/>
      <c r="H978" s="19"/>
    </row>
    <row r="979" spans="1:8" ht="12.5">
      <c r="A979" s="19"/>
      <c r="B979" s="19"/>
      <c r="C979" s="19"/>
      <c r="D979" s="19"/>
      <c r="E979" s="19"/>
      <c r="F979" s="19"/>
      <c r="G979" s="19"/>
      <c r="H979" s="19"/>
    </row>
    <row r="980" spans="1:8" ht="12.5">
      <c r="A980" s="19"/>
      <c r="B980" s="19"/>
      <c r="C980" s="19"/>
      <c r="D980" s="19"/>
      <c r="E980" s="19"/>
      <c r="F980" s="19"/>
      <c r="G980" s="19"/>
      <c r="H980" s="19"/>
    </row>
    <row r="981" spans="1:8" ht="12.5">
      <c r="A981" s="19"/>
      <c r="B981" s="19"/>
      <c r="C981" s="19"/>
      <c r="D981" s="19"/>
      <c r="E981" s="19"/>
      <c r="F981" s="19"/>
      <c r="G981" s="19"/>
      <c r="H981" s="19"/>
    </row>
    <row r="982" spans="1:8" ht="12.5">
      <c r="A982" s="19"/>
      <c r="B982" s="19"/>
      <c r="C982" s="19"/>
      <c r="D982" s="19"/>
      <c r="E982" s="19"/>
      <c r="F982" s="19"/>
      <c r="G982" s="19"/>
      <c r="H982" s="19"/>
    </row>
    <row r="983" spans="1:8" ht="12.5">
      <c r="A983" s="19"/>
      <c r="B983" s="19"/>
      <c r="C983" s="19"/>
      <c r="D983" s="19"/>
      <c r="E983" s="19"/>
      <c r="F983" s="19"/>
      <c r="G983" s="19"/>
      <c r="H983" s="19"/>
    </row>
    <row r="984" spans="1:8" ht="12.5">
      <c r="A984" s="19"/>
      <c r="B984" s="19"/>
      <c r="C984" s="19"/>
      <c r="D984" s="19"/>
      <c r="E984" s="19"/>
      <c r="F984" s="19"/>
      <c r="G984" s="19"/>
      <c r="H984" s="19"/>
    </row>
    <row r="985" spans="1:8" ht="12.5">
      <c r="A985" s="19"/>
      <c r="B985" s="19"/>
      <c r="C985" s="19"/>
      <c r="D985" s="19"/>
      <c r="E985" s="19"/>
      <c r="F985" s="19"/>
      <c r="G985" s="19"/>
      <c r="H985" s="19"/>
    </row>
    <row r="986" spans="1:8" ht="12.5">
      <c r="A986" s="19"/>
      <c r="B986" s="19"/>
      <c r="C986" s="19"/>
      <c r="D986" s="19"/>
      <c r="E986" s="19"/>
      <c r="F986" s="19"/>
      <c r="G986" s="19"/>
      <c r="H986" s="19"/>
    </row>
    <row r="987" spans="1:8" ht="12.5">
      <c r="A987" s="19"/>
      <c r="B987" s="19"/>
      <c r="C987" s="19"/>
      <c r="D987" s="19"/>
      <c r="E987" s="19"/>
      <c r="F987" s="19"/>
      <c r="G987" s="19"/>
      <c r="H987" s="19"/>
    </row>
    <row r="988" spans="1:8" ht="12.5">
      <c r="A988" s="19"/>
      <c r="B988" s="19"/>
      <c r="C988" s="19"/>
      <c r="D988" s="19"/>
      <c r="E988" s="19"/>
      <c r="F988" s="19"/>
      <c r="G988" s="19"/>
      <c r="H988" s="19"/>
    </row>
    <row r="989" spans="1:8" ht="12.5">
      <c r="A989" s="19"/>
      <c r="B989" s="19"/>
      <c r="C989" s="19"/>
      <c r="D989" s="19"/>
      <c r="E989" s="19"/>
      <c r="F989" s="19"/>
      <c r="G989" s="19"/>
      <c r="H989" s="19"/>
    </row>
    <row r="990" spans="1:8" ht="12.5">
      <c r="A990" s="19"/>
      <c r="B990" s="19"/>
      <c r="C990" s="19"/>
      <c r="D990" s="19"/>
      <c r="E990" s="19"/>
      <c r="F990" s="19"/>
      <c r="G990" s="19"/>
      <c r="H990" s="19"/>
    </row>
    <row r="991" spans="1:8" ht="12.5">
      <c r="A991" s="19"/>
      <c r="B991" s="19"/>
      <c r="C991" s="19"/>
      <c r="D991" s="19"/>
      <c r="E991" s="19"/>
      <c r="F991" s="19"/>
      <c r="G991" s="19"/>
      <c r="H991" s="19"/>
    </row>
    <row r="992" spans="1:8" ht="12.5">
      <c r="A992" s="19"/>
      <c r="B992" s="19"/>
      <c r="C992" s="19"/>
      <c r="D992" s="19"/>
      <c r="E992" s="19"/>
      <c r="F992" s="19"/>
      <c r="G992" s="19"/>
      <c r="H992" s="19"/>
    </row>
    <row r="993" spans="1:8" ht="12.5">
      <c r="A993" s="19"/>
      <c r="B993" s="19"/>
      <c r="C993" s="19"/>
      <c r="D993" s="19"/>
      <c r="E993" s="19"/>
      <c r="F993" s="19"/>
      <c r="G993" s="19"/>
      <c r="H993" s="19"/>
    </row>
    <row r="994" spans="1:8" ht="12.5">
      <c r="A994" s="19"/>
      <c r="B994" s="19"/>
      <c r="C994" s="19"/>
      <c r="D994" s="19"/>
      <c r="E994" s="19"/>
      <c r="F994" s="19"/>
      <c r="G994" s="19"/>
      <c r="H994" s="19"/>
    </row>
    <row r="995" spans="1:8" ht="12.5">
      <c r="A995" s="19"/>
      <c r="B995" s="19"/>
      <c r="C995" s="19"/>
      <c r="D995" s="19"/>
      <c r="E995" s="19"/>
      <c r="F995" s="19"/>
      <c r="G995" s="19"/>
      <c r="H995" s="19"/>
    </row>
    <row r="996" spans="1:8" ht="12.5">
      <c r="A996" s="19"/>
      <c r="B996" s="19"/>
      <c r="C996" s="19"/>
      <c r="D996" s="19"/>
      <c r="E996" s="19"/>
      <c r="F996" s="19"/>
      <c r="G996" s="19"/>
      <c r="H996" s="19"/>
    </row>
    <row r="997" spans="1:8" ht="12.5">
      <c r="A997" s="19"/>
      <c r="B997" s="19"/>
      <c r="C997" s="19"/>
      <c r="D997" s="19"/>
      <c r="E997" s="19"/>
      <c r="F997" s="19"/>
      <c r="G997" s="19"/>
      <c r="H997" s="19"/>
    </row>
    <row r="998" spans="1:8" ht="12.5">
      <c r="A998" s="19"/>
      <c r="B998" s="19"/>
      <c r="C998" s="19"/>
      <c r="D998" s="19"/>
      <c r="E998" s="19"/>
      <c r="F998" s="19"/>
      <c r="G998" s="19"/>
      <c r="H998" s="19"/>
    </row>
    <row r="999" spans="1:8" ht="12.5">
      <c r="A999" s="19"/>
      <c r="B999" s="19"/>
      <c r="C999" s="19"/>
      <c r="D999" s="19"/>
      <c r="E999" s="19"/>
      <c r="F999" s="19"/>
      <c r="G999" s="19"/>
      <c r="H999" s="19"/>
    </row>
    <row r="1000" spans="1:8" ht="12.5">
      <c r="A1000" s="19"/>
      <c r="B1000" s="19"/>
      <c r="C1000" s="19"/>
      <c r="D1000" s="19"/>
      <c r="E1000" s="19"/>
      <c r="F1000" s="19"/>
      <c r="G1000" s="19"/>
      <c r="H1000" s="19"/>
    </row>
  </sheetData>
  <autoFilter ref="A1:M468" xr:uid="{00000000-0001-0000-0300-000000000000}"/>
  <hyperlinks>
    <hyperlink ref="G220" r:id="rId1" xr:uid="{00000000-0004-0000-0300-000000000000}"/>
    <hyperlink ref="G233" r:id="rId2" xr:uid="{00000000-0004-0000-0300-000001000000}"/>
    <hyperlink ref="G319" r:id="rId3" xr:uid="{00000000-0004-0000-0300-000002000000}"/>
    <hyperlink ref="G322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selection activeCell="H1" sqref="H1"/>
    </sheetView>
  </sheetViews>
  <sheetFormatPr defaultColWidth="12.6328125" defaultRowHeight="15.75" customHeight="1"/>
  <cols>
    <col min="5" max="5" width="22.08984375" customWidth="1"/>
    <col min="7" max="7" width="27.36328125" customWidth="1"/>
  </cols>
  <sheetData>
    <row r="1" spans="1:20" ht="26">
      <c r="A1" s="17" t="s">
        <v>1485</v>
      </c>
      <c r="B1" s="17" t="s">
        <v>1486</v>
      </c>
      <c r="C1" s="17" t="s">
        <v>4391</v>
      </c>
      <c r="D1" s="17" t="s">
        <v>1487</v>
      </c>
      <c r="E1" s="17" t="s">
        <v>4388</v>
      </c>
      <c r="F1" s="17" t="s">
        <v>327</v>
      </c>
      <c r="G1" s="17" t="s">
        <v>4389</v>
      </c>
      <c r="H1" s="17" t="s">
        <v>4390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5.75" customHeight="1">
      <c r="A2" s="19" t="s">
        <v>4628</v>
      </c>
      <c r="B2" s="19" t="s">
        <v>828</v>
      </c>
      <c r="C2" s="19" t="str">
        <f>_xlfn.CONCAT(A2," ",B2)</f>
        <v>Cindy Yeo</v>
      </c>
      <c r="D2" s="19" t="s">
        <v>1489</v>
      </c>
      <c r="E2" s="19" t="s">
        <v>2448</v>
      </c>
      <c r="F2" s="19" t="s">
        <v>4</v>
      </c>
      <c r="G2" s="20" t="s">
        <v>2449</v>
      </c>
      <c r="H2" s="19">
        <v>91709251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5.75" customHeight="1">
      <c r="A3" s="19" t="s">
        <v>596</v>
      </c>
      <c r="B3" s="19" t="s">
        <v>821</v>
      </c>
      <c r="C3" s="19" t="str">
        <f t="shared" ref="C3:C66" si="0">_xlfn.CONCAT(A3," ",B3)</f>
        <v>Sean Lee</v>
      </c>
      <c r="D3" s="19" t="s">
        <v>1489</v>
      </c>
      <c r="E3" s="19" t="s">
        <v>2450</v>
      </c>
      <c r="F3" s="19" t="s">
        <v>4</v>
      </c>
      <c r="G3" s="19" t="s">
        <v>2451</v>
      </c>
      <c r="H3" s="19" t="s">
        <v>2452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5.75" customHeight="1">
      <c r="A4" s="19" t="s">
        <v>2453</v>
      </c>
      <c r="B4" s="19" t="s">
        <v>2454</v>
      </c>
      <c r="C4" s="19" t="str">
        <f t="shared" si="0"/>
        <v>Tiancheng Huang</v>
      </c>
      <c r="D4" s="19" t="s">
        <v>1489</v>
      </c>
      <c r="E4" s="19" t="s">
        <v>2455</v>
      </c>
      <c r="F4" s="19" t="s">
        <v>4</v>
      </c>
      <c r="G4" s="19" t="s">
        <v>2456</v>
      </c>
      <c r="H4" s="19">
        <v>83018147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5.75" customHeight="1">
      <c r="A5" s="19" t="s">
        <v>4629</v>
      </c>
      <c r="B5" s="19" t="s">
        <v>869</v>
      </c>
      <c r="C5" s="19" t="str">
        <f t="shared" si="0"/>
        <v>Jun Wei</v>
      </c>
      <c r="D5" s="19" t="s">
        <v>1489</v>
      </c>
      <c r="E5" s="19" t="s">
        <v>2457</v>
      </c>
      <c r="F5" s="19" t="s">
        <v>4</v>
      </c>
      <c r="G5" s="19" t="s">
        <v>2458</v>
      </c>
      <c r="H5" s="19">
        <v>90628780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5.75" customHeight="1">
      <c r="A6" s="19" t="s">
        <v>4630</v>
      </c>
      <c r="B6" s="19" t="s">
        <v>478</v>
      </c>
      <c r="C6" s="19" t="str">
        <f t="shared" si="0"/>
        <v>Gordon Siow</v>
      </c>
      <c r="D6" s="19" t="s">
        <v>1489</v>
      </c>
      <c r="E6" s="19" t="s">
        <v>2459</v>
      </c>
      <c r="F6" s="19" t="s">
        <v>4</v>
      </c>
      <c r="G6" s="19" t="s">
        <v>2460</v>
      </c>
      <c r="H6" s="19">
        <f>6590067759</f>
        <v>6590067759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15.75" customHeight="1">
      <c r="A7" s="19" t="s">
        <v>2461</v>
      </c>
      <c r="B7" s="19" t="s">
        <v>2461</v>
      </c>
      <c r="C7" s="19" t="str">
        <f t="shared" si="0"/>
        <v>Tommy Tommy</v>
      </c>
      <c r="D7" s="19" t="s">
        <v>1489</v>
      </c>
      <c r="E7" s="19" t="s">
        <v>2462</v>
      </c>
      <c r="F7" s="19" t="s">
        <v>4</v>
      </c>
      <c r="G7" s="19"/>
      <c r="H7" s="19">
        <v>98288794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15.75" customHeight="1">
      <c r="A8" s="19" t="s">
        <v>2463</v>
      </c>
      <c r="B8" s="19" t="s">
        <v>933</v>
      </c>
      <c r="C8" s="19" t="str">
        <f t="shared" si="0"/>
        <v>Jasmine Lu</v>
      </c>
      <c r="D8" s="19" t="s">
        <v>1489</v>
      </c>
      <c r="E8" s="19" t="s">
        <v>2464</v>
      </c>
      <c r="F8" s="19" t="s">
        <v>4</v>
      </c>
      <c r="G8" s="19" t="s">
        <v>2465</v>
      </c>
      <c r="H8" s="19">
        <v>90925013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5.75" customHeight="1">
      <c r="A9" s="19" t="s">
        <v>2466</v>
      </c>
      <c r="B9" s="19" t="s">
        <v>2467</v>
      </c>
      <c r="C9" s="19" t="str">
        <f t="shared" si="0"/>
        <v>Ishanee Nagpurkar</v>
      </c>
      <c r="D9" s="19" t="s">
        <v>1489</v>
      </c>
      <c r="E9" s="19" t="s">
        <v>2468</v>
      </c>
      <c r="F9" s="19" t="s">
        <v>4</v>
      </c>
      <c r="G9" s="19" t="s">
        <v>2469</v>
      </c>
      <c r="H9" s="19">
        <v>6598214020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5.75" customHeight="1">
      <c r="A10" s="19" t="s">
        <v>831</v>
      </c>
      <c r="B10" s="19" t="s">
        <v>2470</v>
      </c>
      <c r="C10" s="19" t="str">
        <f t="shared" si="0"/>
        <v>Lynn Seow</v>
      </c>
      <c r="D10" s="19" t="s">
        <v>1489</v>
      </c>
      <c r="E10" s="19" t="s">
        <v>2471</v>
      </c>
      <c r="F10" s="19" t="s">
        <v>4</v>
      </c>
      <c r="G10" s="19" t="s">
        <v>2472</v>
      </c>
      <c r="H10" s="19">
        <v>96253026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15.75" customHeight="1">
      <c r="A11" s="19" t="s">
        <v>2473</v>
      </c>
      <c r="B11" s="19" t="s">
        <v>945</v>
      </c>
      <c r="C11" s="19" t="str">
        <f t="shared" si="0"/>
        <v>Ang Yang</v>
      </c>
      <c r="D11" s="19" t="s">
        <v>1489</v>
      </c>
      <c r="E11" s="19" t="s">
        <v>2474</v>
      </c>
      <c r="F11" s="19" t="s">
        <v>4</v>
      </c>
      <c r="G11" s="19" t="s">
        <v>2475</v>
      </c>
      <c r="H11" s="19">
        <v>86084062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.75" customHeight="1">
      <c r="A12" s="19" t="s">
        <v>2476</v>
      </c>
      <c r="B12" s="19" t="s">
        <v>1378</v>
      </c>
      <c r="C12" s="19" t="str">
        <f t="shared" si="0"/>
        <v>Liying Quek</v>
      </c>
      <c r="D12" s="19" t="s">
        <v>1489</v>
      </c>
      <c r="E12" s="19" t="s">
        <v>2477</v>
      </c>
      <c r="F12" s="19" t="s">
        <v>4</v>
      </c>
      <c r="G12" s="19" t="s">
        <v>2475</v>
      </c>
      <c r="H12" s="19">
        <v>97240128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.75" customHeight="1">
      <c r="A13" s="19" t="s">
        <v>764</v>
      </c>
      <c r="B13" s="19" t="s">
        <v>4611</v>
      </c>
      <c r="C13" s="19" t="str">
        <f t="shared" si="0"/>
        <v>Kim Tang</v>
      </c>
      <c r="D13" s="19" t="s">
        <v>1489</v>
      </c>
      <c r="E13" s="19" t="s">
        <v>2478</v>
      </c>
      <c r="F13" s="19" t="s">
        <v>4</v>
      </c>
      <c r="G13" s="19" t="s">
        <v>2479</v>
      </c>
      <c r="H13" s="19">
        <v>97850024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5.75" customHeight="1">
      <c r="A14" s="19" t="s">
        <v>2427</v>
      </c>
      <c r="B14" s="19" t="s">
        <v>428</v>
      </c>
      <c r="C14" s="19" t="str">
        <f t="shared" si="0"/>
        <v>Max Ong</v>
      </c>
      <c r="D14" s="19" t="s">
        <v>1489</v>
      </c>
      <c r="E14" s="19" t="s">
        <v>2480</v>
      </c>
      <c r="F14" s="19" t="s">
        <v>4</v>
      </c>
      <c r="G14" s="19" t="s">
        <v>2481</v>
      </c>
      <c r="H14" s="19">
        <v>90698537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.75" customHeight="1">
      <c r="A15" s="19" t="s">
        <v>2482</v>
      </c>
      <c r="B15" s="19" t="s">
        <v>2483</v>
      </c>
      <c r="C15" s="19" t="str">
        <f t="shared" si="0"/>
        <v>Virn Ping Chai</v>
      </c>
      <c r="D15" s="19" t="s">
        <v>1489</v>
      </c>
      <c r="E15" s="19" t="s">
        <v>2484</v>
      </c>
      <c r="F15" s="19" t="s">
        <v>4</v>
      </c>
      <c r="G15" s="19" t="s">
        <v>2485</v>
      </c>
      <c r="H15" s="19">
        <v>67394389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.75" customHeight="1">
      <c r="A16" s="19" t="s">
        <v>949</v>
      </c>
      <c r="B16" s="19" t="s">
        <v>878</v>
      </c>
      <c r="C16" s="19" t="str">
        <f t="shared" si="0"/>
        <v>Anna Koh</v>
      </c>
      <c r="D16" s="19" t="s">
        <v>1489</v>
      </c>
      <c r="E16" s="19" t="s">
        <v>2486</v>
      </c>
      <c r="F16" s="19" t="s">
        <v>4</v>
      </c>
      <c r="G16" s="19" t="s">
        <v>2481</v>
      </c>
      <c r="H16" s="19">
        <v>97926417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.75" customHeight="1">
      <c r="A17" s="19" t="s">
        <v>4631</v>
      </c>
      <c r="B17" s="19" t="s">
        <v>4762</v>
      </c>
      <c r="C17" s="19" t="str">
        <f t="shared" si="0"/>
        <v>Arthur Hiah</v>
      </c>
      <c r="D17" s="19" t="s">
        <v>1489</v>
      </c>
      <c r="E17" s="19" t="s">
        <v>2487</v>
      </c>
      <c r="F17" s="19" t="s">
        <v>4</v>
      </c>
      <c r="G17" s="19" t="s">
        <v>2488</v>
      </c>
      <c r="H17" s="19">
        <v>96387664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.75" customHeight="1">
      <c r="A18" s="19" t="s">
        <v>2489</v>
      </c>
      <c r="B18" s="19" t="s">
        <v>2489</v>
      </c>
      <c r="C18" s="19" t="str">
        <f t="shared" si="0"/>
        <v>Hanna Hanna</v>
      </c>
      <c r="D18" s="19" t="s">
        <v>1489</v>
      </c>
      <c r="E18" s="19" t="s">
        <v>2490</v>
      </c>
      <c r="F18" s="19" t="s">
        <v>4</v>
      </c>
      <c r="G18" s="19" t="s">
        <v>2491</v>
      </c>
      <c r="H18" s="19" t="s">
        <v>1503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5.75" customHeight="1">
      <c r="A19" s="19" t="s">
        <v>743</v>
      </c>
      <c r="B19" s="19" t="s">
        <v>2492</v>
      </c>
      <c r="C19" s="19" t="str">
        <f t="shared" si="0"/>
        <v>Christopher Ngugen</v>
      </c>
      <c r="D19" s="19" t="s">
        <v>1489</v>
      </c>
      <c r="E19" s="19" t="s">
        <v>2493</v>
      </c>
      <c r="F19" s="19" t="s">
        <v>4</v>
      </c>
      <c r="G19" s="19" t="s">
        <v>2494</v>
      </c>
      <c r="H19" s="19">
        <v>96220101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5.75" customHeight="1">
      <c r="A20" s="19" t="s">
        <v>2533</v>
      </c>
      <c r="B20" s="19" t="s">
        <v>465</v>
      </c>
      <c r="C20" s="19" t="str">
        <f t="shared" si="0"/>
        <v>Jo Wong</v>
      </c>
      <c r="D20" s="19" t="s">
        <v>1489</v>
      </c>
      <c r="E20" s="19" t="s">
        <v>2495</v>
      </c>
      <c r="F20" s="19" t="s">
        <v>4</v>
      </c>
      <c r="G20" s="19" t="s">
        <v>2496</v>
      </c>
      <c r="H20" s="19">
        <v>86921898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5.75" customHeight="1">
      <c r="A21" s="19" t="s">
        <v>2239</v>
      </c>
      <c r="B21" s="19" t="s">
        <v>2497</v>
      </c>
      <c r="C21" s="19" t="str">
        <f t="shared" si="0"/>
        <v>James Loveridge</v>
      </c>
      <c r="D21" s="19" t="s">
        <v>1489</v>
      </c>
      <c r="E21" s="19" t="s">
        <v>2498</v>
      </c>
      <c r="F21" s="19" t="s">
        <v>4</v>
      </c>
      <c r="G21" s="19" t="s">
        <v>2499</v>
      </c>
      <c r="H21" s="19">
        <v>92455675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5.75" customHeight="1">
      <c r="A22" s="19" t="s">
        <v>2500</v>
      </c>
      <c r="B22" s="19" t="s">
        <v>902</v>
      </c>
      <c r="C22" s="19" t="str">
        <f t="shared" si="0"/>
        <v>Soon Hui Ng</v>
      </c>
      <c r="D22" s="19" t="s">
        <v>1489</v>
      </c>
      <c r="E22" s="19" t="s">
        <v>2501</v>
      </c>
      <c r="F22" s="19" t="s">
        <v>4</v>
      </c>
      <c r="G22" s="19" t="s">
        <v>2502</v>
      </c>
      <c r="H22" s="19">
        <v>91393992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5.75" customHeight="1">
      <c r="A23" s="19" t="s">
        <v>2503</v>
      </c>
      <c r="B23" s="19" t="s">
        <v>2504</v>
      </c>
      <c r="C23" s="19" t="str">
        <f t="shared" si="0"/>
        <v>Kenneth Pek</v>
      </c>
      <c r="D23" s="19" t="s">
        <v>1489</v>
      </c>
      <c r="E23" s="19" t="s">
        <v>2505</v>
      </c>
      <c r="F23" s="19" t="s">
        <v>4</v>
      </c>
      <c r="G23" s="19" t="s">
        <v>2506</v>
      </c>
      <c r="H23" s="19">
        <v>97716613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2.5">
      <c r="A24" s="19" t="s">
        <v>949</v>
      </c>
      <c r="B24" s="19" t="s">
        <v>878</v>
      </c>
      <c r="C24" s="19" t="str">
        <f t="shared" si="0"/>
        <v>Anna Koh</v>
      </c>
      <c r="D24" s="19" t="s">
        <v>1489</v>
      </c>
      <c r="E24" s="19" t="s">
        <v>2486</v>
      </c>
      <c r="F24" s="19" t="s">
        <v>4</v>
      </c>
      <c r="G24" s="19" t="s">
        <v>2507</v>
      </c>
      <c r="H24" s="19">
        <v>62838846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2.5">
      <c r="A25" s="19" t="s">
        <v>2239</v>
      </c>
      <c r="B25" s="19" t="s">
        <v>2508</v>
      </c>
      <c r="C25" s="19" t="str">
        <f t="shared" si="0"/>
        <v>James Harto</v>
      </c>
      <c r="D25" s="19" t="s">
        <v>1489</v>
      </c>
      <c r="E25" s="19" t="s">
        <v>2509</v>
      </c>
      <c r="F25" s="19" t="s">
        <v>4</v>
      </c>
      <c r="G25" s="20" t="s">
        <v>2510</v>
      </c>
      <c r="H25" s="19">
        <v>82929609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2.5">
      <c r="A26" s="19" t="s">
        <v>364</v>
      </c>
      <c r="B26" s="19" t="s">
        <v>372</v>
      </c>
      <c r="C26" s="19" t="str">
        <f t="shared" si="0"/>
        <v>Darren Tan</v>
      </c>
      <c r="D26" s="19" t="s">
        <v>1489</v>
      </c>
      <c r="E26" s="19" t="s">
        <v>2511</v>
      </c>
      <c r="F26" s="19" t="s">
        <v>4</v>
      </c>
      <c r="G26" s="20" t="s">
        <v>2512</v>
      </c>
      <c r="H26" s="19">
        <v>86996250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ht="23">
      <c r="A27" s="19" t="s">
        <v>2513</v>
      </c>
      <c r="B27" s="19" t="s">
        <v>580</v>
      </c>
      <c r="C27" s="19" t="str">
        <f t="shared" si="0"/>
        <v>Nehemiah Chong</v>
      </c>
      <c r="D27" s="19" t="s">
        <v>1489</v>
      </c>
      <c r="E27" s="19" t="s">
        <v>2514</v>
      </c>
      <c r="F27" s="19" t="s">
        <v>4</v>
      </c>
      <c r="G27" s="19" t="s">
        <v>2515</v>
      </c>
      <c r="H27" s="19">
        <v>92982896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ht="12.5">
      <c r="A28" s="19" t="s">
        <v>2516</v>
      </c>
      <c r="B28" s="19" t="s">
        <v>465</v>
      </c>
      <c r="C28" s="19" t="str">
        <f t="shared" si="0"/>
        <v>Arjen Wong</v>
      </c>
      <c r="D28" s="19" t="s">
        <v>1489</v>
      </c>
      <c r="E28" s="19" t="s">
        <v>2517</v>
      </c>
      <c r="F28" s="19" t="s">
        <v>4</v>
      </c>
      <c r="G28" s="19" t="s">
        <v>2518</v>
      </c>
      <c r="H28" s="19">
        <v>127240488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2.5">
      <c r="A29" s="19" t="s">
        <v>932</v>
      </c>
      <c r="B29" s="19" t="s">
        <v>1503</v>
      </c>
      <c r="C29" s="19" t="str">
        <f t="shared" si="0"/>
        <v>Amanda -</v>
      </c>
      <c r="D29" s="19" t="s">
        <v>1489</v>
      </c>
      <c r="E29" s="19" t="s">
        <v>1503</v>
      </c>
      <c r="F29" s="19" t="s">
        <v>4</v>
      </c>
      <c r="G29" s="19" t="s">
        <v>1503</v>
      </c>
      <c r="H29" s="19">
        <v>97760045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2.5">
      <c r="A30" s="19" t="s">
        <v>2519</v>
      </c>
      <c r="B30" s="19" t="s">
        <v>462</v>
      </c>
      <c r="C30" s="19" t="str">
        <f t="shared" si="0"/>
        <v>Jaslene Pang</v>
      </c>
      <c r="D30" s="19" t="s">
        <v>1489</v>
      </c>
      <c r="E30" s="19" t="s">
        <v>2520</v>
      </c>
      <c r="F30" s="19" t="s">
        <v>4</v>
      </c>
      <c r="G30" s="19" t="s">
        <v>2521</v>
      </c>
      <c r="H30" s="19">
        <v>96498241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23">
      <c r="A31" s="19" t="s">
        <v>2522</v>
      </c>
      <c r="B31" s="19" t="s">
        <v>2523</v>
      </c>
      <c r="C31" s="19" t="str">
        <f t="shared" si="0"/>
        <v>Celeine Bautista</v>
      </c>
      <c r="D31" s="19" t="s">
        <v>1489</v>
      </c>
      <c r="E31" s="19" t="s">
        <v>2524</v>
      </c>
      <c r="F31" s="19" t="s">
        <v>4</v>
      </c>
      <c r="G31" s="20" t="s">
        <v>2525</v>
      </c>
      <c r="H31" s="19">
        <v>9178639678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12.5">
      <c r="A32" s="19" t="s">
        <v>2526</v>
      </c>
      <c r="B32" s="19" t="s">
        <v>2527</v>
      </c>
      <c r="C32" s="19" t="str">
        <f t="shared" si="0"/>
        <v>Jonny Owens</v>
      </c>
      <c r="D32" s="19" t="s">
        <v>1489</v>
      </c>
      <c r="E32" s="19" t="s">
        <v>2528</v>
      </c>
      <c r="F32" s="19" t="s">
        <v>4</v>
      </c>
      <c r="G32" s="19" t="s">
        <v>2529</v>
      </c>
      <c r="H32" s="19">
        <v>81113563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23">
      <c r="A33" s="19" t="s">
        <v>2530</v>
      </c>
      <c r="B33" s="19" t="s">
        <v>372</v>
      </c>
      <c r="C33" s="19" t="str">
        <f t="shared" si="0"/>
        <v>Kris Tan</v>
      </c>
      <c r="D33" s="19" t="s">
        <v>1489</v>
      </c>
      <c r="E33" s="19" t="s">
        <v>2531</v>
      </c>
      <c r="F33" s="19" t="s">
        <v>4</v>
      </c>
      <c r="G33" s="19" t="s">
        <v>2532</v>
      </c>
      <c r="H33" s="19">
        <v>91797674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2.5">
      <c r="A34" s="19" t="s">
        <v>2533</v>
      </c>
      <c r="B34" s="19" t="s">
        <v>1503</v>
      </c>
      <c r="C34" s="19" t="str">
        <f t="shared" si="0"/>
        <v>Jo -</v>
      </c>
      <c r="D34" s="19" t="s">
        <v>1489</v>
      </c>
      <c r="E34" s="19" t="s">
        <v>1503</v>
      </c>
      <c r="F34" s="19" t="s">
        <v>4</v>
      </c>
      <c r="G34" s="19" t="s">
        <v>2534</v>
      </c>
      <c r="H34" s="19">
        <v>384983939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2.5">
      <c r="A35" s="19" t="s">
        <v>2535</v>
      </c>
      <c r="B35" s="19" t="s">
        <v>2536</v>
      </c>
      <c r="C35" s="19" t="str">
        <f t="shared" si="0"/>
        <v>Edison Ed</v>
      </c>
      <c r="D35" s="19" t="s">
        <v>1489</v>
      </c>
      <c r="E35" s="19" t="s">
        <v>1503</v>
      </c>
      <c r="F35" s="19" t="s">
        <v>4</v>
      </c>
      <c r="G35" s="19" t="s">
        <v>2537</v>
      </c>
      <c r="H35" s="19">
        <v>96285485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23">
      <c r="A36" s="19" t="s">
        <v>2538</v>
      </c>
      <c r="B36" s="19" t="s">
        <v>667</v>
      </c>
      <c r="C36" s="19" t="str">
        <f t="shared" si="0"/>
        <v>Madeliene Soh</v>
      </c>
      <c r="D36" s="19" t="s">
        <v>1489</v>
      </c>
      <c r="E36" s="19" t="s">
        <v>2539</v>
      </c>
      <c r="F36" s="19" t="s">
        <v>4</v>
      </c>
      <c r="G36" s="19" t="s">
        <v>2540</v>
      </c>
      <c r="H36" s="19">
        <v>94591367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ht="12.5">
      <c r="A37" s="19" t="s">
        <v>4632</v>
      </c>
      <c r="B37" s="19" t="s">
        <v>821</v>
      </c>
      <c r="C37" s="19" t="str">
        <f t="shared" si="0"/>
        <v>Fleex Lee</v>
      </c>
      <c r="D37" s="19" t="s">
        <v>1489</v>
      </c>
      <c r="E37" s="19" t="s">
        <v>2541</v>
      </c>
      <c r="F37" s="19" t="s">
        <v>4</v>
      </c>
      <c r="G37" s="19" t="s">
        <v>2542</v>
      </c>
      <c r="H37" s="19">
        <v>9223456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23">
      <c r="A38" s="19" t="s">
        <v>2543</v>
      </c>
      <c r="B38" s="19" t="s">
        <v>550</v>
      </c>
      <c r="C38" s="19" t="str">
        <f t="shared" si="0"/>
        <v>Josephine Chew</v>
      </c>
      <c r="D38" s="19" t="s">
        <v>1489</v>
      </c>
      <c r="E38" s="19" t="s">
        <v>2544</v>
      </c>
      <c r="F38" s="19" t="s">
        <v>4</v>
      </c>
      <c r="G38" s="20" t="s">
        <v>2545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12.5">
      <c r="A39" s="19" t="s">
        <v>1586</v>
      </c>
      <c r="B39" s="19" t="s">
        <v>1428</v>
      </c>
      <c r="C39" s="19" t="str">
        <f t="shared" si="0"/>
        <v>Xavier Zhang</v>
      </c>
      <c r="D39" s="19" t="s">
        <v>1489</v>
      </c>
      <c r="E39" s="19" t="s">
        <v>2546</v>
      </c>
      <c r="F39" s="19" t="s">
        <v>4</v>
      </c>
      <c r="G39" s="19" t="s">
        <v>2547</v>
      </c>
      <c r="H39" s="19">
        <v>96381226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ht="12.5">
      <c r="A40" s="19" t="s">
        <v>2548</v>
      </c>
      <c r="B40" s="19" t="s">
        <v>576</v>
      </c>
      <c r="C40" s="19" t="str">
        <f t="shared" si="0"/>
        <v>Seth Yap</v>
      </c>
      <c r="D40" s="19" t="s">
        <v>1489</v>
      </c>
      <c r="E40" s="19" t="s">
        <v>2549</v>
      </c>
      <c r="F40" s="19" t="s">
        <v>4</v>
      </c>
      <c r="G40" s="19" t="s">
        <v>2550</v>
      </c>
      <c r="H40" s="19">
        <v>94360610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2.5">
      <c r="A41" s="19" t="s">
        <v>2551</v>
      </c>
      <c r="B41" s="19" t="s">
        <v>2552</v>
      </c>
      <c r="C41" s="19" t="str">
        <f t="shared" si="0"/>
        <v>Kelly Pereria</v>
      </c>
      <c r="D41" s="19" t="s">
        <v>1489</v>
      </c>
      <c r="E41" s="19" t="s">
        <v>2553</v>
      </c>
      <c r="F41" s="19" t="s">
        <v>4</v>
      </c>
      <c r="G41" s="20" t="s">
        <v>2554</v>
      </c>
      <c r="H41" s="19">
        <v>87510249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2.5">
      <c r="A42" s="19" t="s">
        <v>2555</v>
      </c>
      <c r="B42" s="19" t="s">
        <v>2555</v>
      </c>
      <c r="C42" s="19" t="str">
        <f t="shared" si="0"/>
        <v>Rafiq Rafiq</v>
      </c>
      <c r="D42" s="19" t="s">
        <v>1489</v>
      </c>
      <c r="E42" s="19" t="s">
        <v>2556</v>
      </c>
      <c r="F42" s="19" t="s">
        <v>4</v>
      </c>
      <c r="G42" s="19" t="s">
        <v>2557</v>
      </c>
      <c r="H42" s="19">
        <v>84997151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2.5">
      <c r="A43" s="19" t="s">
        <v>983</v>
      </c>
      <c r="B43" s="19" t="s">
        <v>2558</v>
      </c>
      <c r="C43" s="19" t="str">
        <f t="shared" si="0"/>
        <v>Hazel Hok</v>
      </c>
      <c r="D43" s="19" t="s">
        <v>1489</v>
      </c>
      <c r="E43" s="19" t="s">
        <v>2559</v>
      </c>
      <c r="F43" s="19" t="s">
        <v>4</v>
      </c>
      <c r="G43" s="19" t="s">
        <v>2560</v>
      </c>
      <c r="H43" s="19">
        <v>96540767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2.5">
      <c r="A44" s="19" t="s">
        <v>469</v>
      </c>
      <c r="B44" s="19" t="s">
        <v>2558</v>
      </c>
      <c r="C44" s="19" t="str">
        <f t="shared" si="0"/>
        <v>Richard Hok</v>
      </c>
      <c r="D44" s="19" t="s">
        <v>1489</v>
      </c>
      <c r="E44" s="19" t="s">
        <v>2561</v>
      </c>
      <c r="F44" s="19" t="s">
        <v>4</v>
      </c>
      <c r="G44" s="19" t="s">
        <v>2562</v>
      </c>
      <c r="H44" s="19">
        <v>83998742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34.5">
      <c r="A45" s="19" t="s">
        <v>465</v>
      </c>
      <c r="B45" s="19" t="s">
        <v>2563</v>
      </c>
      <c r="C45" s="19" t="str">
        <f t="shared" si="0"/>
        <v>Wong Wright</v>
      </c>
      <c r="D45" s="19" t="s">
        <v>1489</v>
      </c>
      <c r="E45" s="19" t="s">
        <v>2564</v>
      </c>
      <c r="F45" s="19" t="s">
        <v>4</v>
      </c>
      <c r="G45" s="19" t="s">
        <v>2565</v>
      </c>
      <c r="H45" s="19">
        <v>97930593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ht="34.5">
      <c r="A46" s="19" t="s">
        <v>2566</v>
      </c>
      <c r="B46" s="19" t="s">
        <v>902</v>
      </c>
      <c r="C46" s="19" t="str">
        <f t="shared" si="0"/>
        <v>Vic Ng</v>
      </c>
      <c r="D46" s="19" t="s">
        <v>1489</v>
      </c>
      <c r="E46" s="19" t="s">
        <v>2567</v>
      </c>
      <c r="F46" s="19" t="s">
        <v>4</v>
      </c>
      <c r="G46" s="19" t="s">
        <v>2568</v>
      </c>
      <c r="H46" s="19">
        <v>91808891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ht="12.5">
      <c r="A47" s="19" t="s">
        <v>2569</v>
      </c>
      <c r="B47" s="19" t="s">
        <v>1503</v>
      </c>
      <c r="C47" s="19" t="str">
        <f t="shared" si="0"/>
        <v>Francesco -</v>
      </c>
      <c r="D47" s="19" t="s">
        <v>1489</v>
      </c>
      <c r="E47" s="19" t="s">
        <v>2570</v>
      </c>
      <c r="F47" s="19" t="s">
        <v>4</v>
      </c>
      <c r="G47" s="19" t="s">
        <v>2571</v>
      </c>
      <c r="H47" s="19">
        <v>82214676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ht="12.5">
      <c r="A48" s="19" t="s">
        <v>2572</v>
      </c>
      <c r="B48" s="19" t="s">
        <v>1503</v>
      </c>
      <c r="C48" s="19" t="str">
        <f t="shared" si="0"/>
        <v>Isabella -</v>
      </c>
      <c r="D48" s="19" t="s">
        <v>1489</v>
      </c>
      <c r="E48" s="19" t="s">
        <v>2573</v>
      </c>
      <c r="F48" s="19" t="s">
        <v>4</v>
      </c>
      <c r="G48" s="19" t="s">
        <v>2574</v>
      </c>
      <c r="H48" s="19">
        <v>98504950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ht="12.5">
      <c r="A49" s="19" t="s">
        <v>2575</v>
      </c>
      <c r="B49" s="19" t="s">
        <v>1503</v>
      </c>
      <c r="C49" s="19" t="str">
        <f t="shared" si="0"/>
        <v>Maanish -</v>
      </c>
      <c r="D49" s="19" t="s">
        <v>1489</v>
      </c>
      <c r="E49" s="19" t="s">
        <v>2576</v>
      </c>
      <c r="F49" s="19" t="s">
        <v>4</v>
      </c>
      <c r="G49" s="19" t="s">
        <v>2577</v>
      </c>
      <c r="H49" s="19">
        <v>91267797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2.5">
      <c r="A50" s="19" t="s">
        <v>2578</v>
      </c>
      <c r="B50" s="19" t="s">
        <v>1503</v>
      </c>
      <c r="C50" s="19" t="str">
        <f t="shared" si="0"/>
        <v>Ivan -</v>
      </c>
      <c r="D50" s="19" t="s">
        <v>1489</v>
      </c>
      <c r="E50" s="19" t="s">
        <v>2579</v>
      </c>
      <c r="F50" s="19" t="s">
        <v>4</v>
      </c>
      <c r="G50" s="19" t="s">
        <v>2580</v>
      </c>
      <c r="H50" s="19">
        <v>91196032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23">
      <c r="A51" s="19" t="s">
        <v>2503</v>
      </c>
      <c r="B51" s="19" t="s">
        <v>1503</v>
      </c>
      <c r="C51" s="19" t="str">
        <f t="shared" si="0"/>
        <v>Kenneth -</v>
      </c>
      <c r="D51" s="19" t="s">
        <v>1489</v>
      </c>
      <c r="E51" s="19" t="s">
        <v>2581</v>
      </c>
      <c r="F51" s="19" t="s">
        <v>4</v>
      </c>
      <c r="G51" s="19" t="s">
        <v>2582</v>
      </c>
      <c r="H51" s="19">
        <v>93364287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12.5">
      <c r="A52" s="19" t="s">
        <v>2583</v>
      </c>
      <c r="B52" s="19" t="s">
        <v>1503</v>
      </c>
      <c r="C52" s="19" t="str">
        <f t="shared" si="0"/>
        <v>Suchana -</v>
      </c>
      <c r="D52" s="19" t="s">
        <v>1489</v>
      </c>
      <c r="E52" s="19" t="s">
        <v>2584</v>
      </c>
      <c r="F52" s="19" t="s">
        <v>4</v>
      </c>
      <c r="G52" s="19" t="s">
        <v>2585</v>
      </c>
      <c r="H52" s="19">
        <v>92715706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2.5">
      <c r="A53" s="19" t="s">
        <v>2586</v>
      </c>
      <c r="B53" s="19" t="s">
        <v>1503</v>
      </c>
      <c r="C53" s="19" t="str">
        <f t="shared" si="0"/>
        <v>Nisar -</v>
      </c>
      <c r="D53" s="19" t="s">
        <v>1489</v>
      </c>
      <c r="E53" s="19" t="s">
        <v>2587</v>
      </c>
      <c r="F53" s="19" t="s">
        <v>4</v>
      </c>
      <c r="G53" s="19" t="s">
        <v>2588</v>
      </c>
      <c r="H53" s="19">
        <v>91461684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ht="23">
      <c r="A54" s="19" t="s">
        <v>1360</v>
      </c>
      <c r="B54" s="19" t="s">
        <v>1503</v>
      </c>
      <c r="C54" s="19" t="str">
        <f t="shared" si="0"/>
        <v>Ali -</v>
      </c>
      <c r="D54" s="19" t="s">
        <v>1489</v>
      </c>
      <c r="E54" s="19" t="s">
        <v>2589</v>
      </c>
      <c r="F54" s="19" t="s">
        <v>4</v>
      </c>
      <c r="G54" s="19" t="s">
        <v>2590</v>
      </c>
      <c r="H54" s="19">
        <v>90019960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ht="12.5">
      <c r="A55" s="19" t="s">
        <v>2591</v>
      </c>
      <c r="B55" s="19" t="s">
        <v>1503</v>
      </c>
      <c r="C55" s="19" t="str">
        <f t="shared" si="0"/>
        <v>Eddy Chan -</v>
      </c>
      <c r="D55" s="19" t="s">
        <v>1489</v>
      </c>
      <c r="E55" s="19" t="s">
        <v>2592</v>
      </c>
      <c r="F55" s="19" t="s">
        <v>4</v>
      </c>
      <c r="G55" s="19" t="s">
        <v>2593</v>
      </c>
      <c r="H55" s="19">
        <v>98638395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ht="12.5">
      <c r="A56" s="19" t="s">
        <v>2594</v>
      </c>
      <c r="B56" s="19" t="s">
        <v>1503</v>
      </c>
      <c r="C56" s="19" t="str">
        <f t="shared" si="0"/>
        <v>Yen Lau -</v>
      </c>
      <c r="D56" s="19" t="s">
        <v>1489</v>
      </c>
      <c r="E56" s="19" t="s">
        <v>2595</v>
      </c>
      <c r="F56" s="19" t="s">
        <v>4</v>
      </c>
      <c r="G56" s="19" t="s">
        <v>2596</v>
      </c>
      <c r="H56" s="19">
        <v>96416466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ht="12.5">
      <c r="A57" s="19" t="s">
        <v>2597</v>
      </c>
      <c r="B57" s="19" t="s">
        <v>1503</v>
      </c>
      <c r="C57" s="19" t="str">
        <f t="shared" si="0"/>
        <v>Jowel -</v>
      </c>
      <c r="D57" s="19" t="s">
        <v>1489</v>
      </c>
      <c r="E57" s="19" t="s">
        <v>2598</v>
      </c>
      <c r="F57" s="19" t="s">
        <v>4</v>
      </c>
      <c r="G57" s="19" t="s">
        <v>2599</v>
      </c>
      <c r="H57" s="19">
        <v>98250065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ht="12.5">
      <c r="A58" s="19" t="s">
        <v>2600</v>
      </c>
      <c r="B58" s="19" t="s">
        <v>1503</v>
      </c>
      <c r="C58" s="19" t="str">
        <f t="shared" si="0"/>
        <v>tan boon kiat -</v>
      </c>
      <c r="D58" s="19" t="s">
        <v>1489</v>
      </c>
      <c r="E58" s="19" t="s">
        <v>2601</v>
      </c>
      <c r="F58" s="19" t="s">
        <v>4</v>
      </c>
      <c r="G58" s="19" t="s">
        <v>2602</v>
      </c>
      <c r="H58" s="19">
        <v>98524075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23">
      <c r="A59" s="19" t="s">
        <v>2603</v>
      </c>
      <c r="B59" s="19" t="s">
        <v>1503</v>
      </c>
      <c r="C59" s="19" t="str">
        <f t="shared" si="0"/>
        <v>Surender Singh -</v>
      </c>
      <c r="D59" s="19" t="s">
        <v>1489</v>
      </c>
      <c r="E59" s="19" t="s">
        <v>2604</v>
      </c>
      <c r="F59" s="19" t="s">
        <v>4</v>
      </c>
      <c r="G59" s="19" t="s">
        <v>2605</v>
      </c>
      <c r="H59" s="19">
        <v>98627334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23">
      <c r="A60" s="19" t="s">
        <v>2606</v>
      </c>
      <c r="B60" s="19" t="s">
        <v>1503</v>
      </c>
      <c r="C60" s="19" t="str">
        <f t="shared" si="0"/>
        <v>namsoo -</v>
      </c>
      <c r="D60" s="19" t="s">
        <v>1489</v>
      </c>
      <c r="E60" s="19" t="s">
        <v>2607</v>
      </c>
      <c r="F60" s="19" t="s">
        <v>4</v>
      </c>
      <c r="G60" s="19" t="s">
        <v>2608</v>
      </c>
      <c r="H60" s="19" t="s">
        <v>2609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ht="23">
      <c r="A61" s="19" t="s">
        <v>2610</v>
      </c>
      <c r="B61" s="19" t="s">
        <v>1503</v>
      </c>
      <c r="C61" s="19" t="str">
        <f t="shared" si="0"/>
        <v>Lau Hieng Chung -</v>
      </c>
      <c r="D61" s="19" t="s">
        <v>1489</v>
      </c>
      <c r="E61" s="19" t="s">
        <v>2611</v>
      </c>
      <c r="F61" s="19" t="s">
        <v>4</v>
      </c>
      <c r="G61" s="19" t="s">
        <v>2612</v>
      </c>
      <c r="H61" s="19">
        <v>60168001819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ht="12.5">
      <c r="A62" s="19" t="s">
        <v>2613</v>
      </c>
      <c r="B62" s="19" t="s">
        <v>1503</v>
      </c>
      <c r="C62" s="19" t="str">
        <f t="shared" si="0"/>
        <v>Jimi -</v>
      </c>
      <c r="D62" s="19" t="s">
        <v>1489</v>
      </c>
      <c r="E62" s="19" t="s">
        <v>2614</v>
      </c>
      <c r="F62" s="19" t="s">
        <v>4</v>
      </c>
      <c r="G62" s="19" t="s">
        <v>2615</v>
      </c>
      <c r="H62" s="19">
        <v>98974762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ht="12.5">
      <c r="A63" s="19" t="s">
        <v>1038</v>
      </c>
      <c r="B63" s="19" t="s">
        <v>1503</v>
      </c>
      <c r="C63" s="19" t="str">
        <f t="shared" si="0"/>
        <v>Joanne -</v>
      </c>
      <c r="D63" s="19" t="s">
        <v>1489</v>
      </c>
      <c r="E63" s="19" t="s">
        <v>2616</v>
      </c>
      <c r="F63" s="19" t="s">
        <v>4</v>
      </c>
      <c r="G63" s="19" t="s">
        <v>2617</v>
      </c>
      <c r="H63" s="19">
        <v>96206904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12.5">
      <c r="A64" s="19" t="s">
        <v>2618</v>
      </c>
      <c r="B64" s="19" t="s">
        <v>1503</v>
      </c>
      <c r="C64" s="19" t="str">
        <f t="shared" si="0"/>
        <v>Liz Cho -</v>
      </c>
      <c r="D64" s="19" t="s">
        <v>1489</v>
      </c>
      <c r="E64" s="19" t="s">
        <v>2619</v>
      </c>
      <c r="F64" s="19" t="s">
        <v>4</v>
      </c>
      <c r="G64" s="19" t="s">
        <v>2620</v>
      </c>
      <c r="H64" s="19">
        <v>91162104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12.5">
      <c r="A65" s="19" t="s">
        <v>2621</v>
      </c>
      <c r="B65" s="19" t="s">
        <v>1503</v>
      </c>
      <c r="C65" s="19" t="str">
        <f t="shared" si="0"/>
        <v>yan -</v>
      </c>
      <c r="D65" s="19" t="s">
        <v>1489</v>
      </c>
      <c r="E65" s="19" t="s">
        <v>2622</v>
      </c>
      <c r="F65" s="19" t="s">
        <v>4</v>
      </c>
      <c r="G65" s="19" t="s">
        <v>2623</v>
      </c>
      <c r="H65" s="19">
        <v>91139105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12.5">
      <c r="A66" s="19" t="s">
        <v>2624</v>
      </c>
      <c r="B66" s="19" t="s">
        <v>1503</v>
      </c>
      <c r="C66" s="19" t="str">
        <f t="shared" si="0"/>
        <v>Seng -</v>
      </c>
      <c r="D66" s="19" t="s">
        <v>1489</v>
      </c>
      <c r="E66" s="19" t="s">
        <v>2625</v>
      </c>
      <c r="F66" s="19" t="s">
        <v>4</v>
      </c>
      <c r="G66" s="19" t="s">
        <v>2626</v>
      </c>
      <c r="H66" s="19">
        <v>90463318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ht="12.5">
      <c r="A67" s="19" t="s">
        <v>2627</v>
      </c>
      <c r="B67" s="19" t="s">
        <v>1503</v>
      </c>
      <c r="C67" s="19" t="str">
        <f t="shared" ref="C67:C130" si="1">_xlfn.CONCAT(A67," ",B67)</f>
        <v>Isabelle -</v>
      </c>
      <c r="D67" s="19" t="s">
        <v>1489</v>
      </c>
      <c r="E67" s="19" t="s">
        <v>2628</v>
      </c>
      <c r="F67" s="19" t="s">
        <v>4</v>
      </c>
      <c r="G67" s="19" t="s">
        <v>2629</v>
      </c>
      <c r="H67" s="19">
        <v>97553748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ht="12.5">
      <c r="A68" s="19" t="s">
        <v>1357</v>
      </c>
      <c r="B68" s="19" t="s">
        <v>1503</v>
      </c>
      <c r="C68" s="19" t="str">
        <f t="shared" si="1"/>
        <v>Amy -</v>
      </c>
      <c r="D68" s="19" t="s">
        <v>1489</v>
      </c>
      <c r="E68" s="19" t="s">
        <v>2630</v>
      </c>
      <c r="F68" s="19" t="s">
        <v>4</v>
      </c>
      <c r="G68" s="19" t="s">
        <v>2631</v>
      </c>
      <c r="H68" s="19">
        <v>90039997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ht="12.5">
      <c r="A69" s="19" t="s">
        <v>465</v>
      </c>
      <c r="B69" s="19" t="s">
        <v>1503</v>
      </c>
      <c r="C69" s="19" t="str">
        <f t="shared" si="1"/>
        <v>Wong -</v>
      </c>
      <c r="D69" s="19" t="s">
        <v>1489</v>
      </c>
      <c r="E69" s="19" t="s">
        <v>2632</v>
      </c>
      <c r="F69" s="19" t="s">
        <v>4</v>
      </c>
      <c r="G69" s="19" t="s">
        <v>2633</v>
      </c>
      <c r="H69" s="19">
        <v>98890488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t="12.5">
      <c r="A70" s="19" t="s">
        <v>2634</v>
      </c>
      <c r="B70" s="19" t="s">
        <v>1503</v>
      </c>
      <c r="C70" s="19" t="str">
        <f t="shared" si="1"/>
        <v>Vanz -</v>
      </c>
      <c r="D70" s="19" t="s">
        <v>1489</v>
      </c>
      <c r="E70" s="19" t="s">
        <v>2635</v>
      </c>
      <c r="F70" s="19" t="s">
        <v>4</v>
      </c>
      <c r="G70" s="19" t="s">
        <v>2636</v>
      </c>
      <c r="H70" s="19">
        <v>91162052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2.5">
      <c r="A71" s="19" t="s">
        <v>2637</v>
      </c>
      <c r="B71" s="19" t="s">
        <v>1503</v>
      </c>
      <c r="C71" s="19" t="str">
        <f t="shared" si="1"/>
        <v>Haslee -</v>
      </c>
      <c r="D71" s="19" t="s">
        <v>1489</v>
      </c>
      <c r="E71" s="19" t="s">
        <v>2638</v>
      </c>
      <c r="F71" s="19" t="s">
        <v>4</v>
      </c>
      <c r="G71" s="19" t="s">
        <v>2639</v>
      </c>
      <c r="H71" s="19">
        <v>90694569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ht="12.5">
      <c r="A72" s="19" t="s">
        <v>2273</v>
      </c>
      <c r="B72" s="19" t="s">
        <v>1503</v>
      </c>
      <c r="C72" s="19" t="str">
        <f t="shared" si="1"/>
        <v>Clement -</v>
      </c>
      <c r="D72" s="19" t="s">
        <v>1489</v>
      </c>
      <c r="E72" s="19" t="s">
        <v>2640</v>
      </c>
      <c r="F72" s="19" t="s">
        <v>4</v>
      </c>
      <c r="G72" s="19" t="s">
        <v>2641</v>
      </c>
      <c r="H72" s="19">
        <v>87998336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ht="12.5">
      <c r="A73" s="19" t="s">
        <v>1038</v>
      </c>
      <c r="B73" s="19" t="s">
        <v>1503</v>
      </c>
      <c r="C73" s="19" t="str">
        <f t="shared" si="1"/>
        <v>Joanne -</v>
      </c>
      <c r="D73" s="19" t="s">
        <v>1489</v>
      </c>
      <c r="E73" s="19" t="s">
        <v>2642</v>
      </c>
      <c r="F73" s="19" t="s">
        <v>4</v>
      </c>
      <c r="G73" s="19" t="s">
        <v>2643</v>
      </c>
      <c r="H73" s="19">
        <v>88114497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ht="23">
      <c r="A74" s="19" t="s">
        <v>2644</v>
      </c>
      <c r="B74" s="19" t="s">
        <v>1503</v>
      </c>
      <c r="C74" s="19" t="str">
        <f t="shared" si="1"/>
        <v>Patrick Jonathan -</v>
      </c>
      <c r="D74" s="19" t="s">
        <v>1489</v>
      </c>
      <c r="E74" s="19" t="s">
        <v>2645</v>
      </c>
      <c r="F74" s="19" t="s">
        <v>4</v>
      </c>
      <c r="G74" s="19" t="s">
        <v>2646</v>
      </c>
      <c r="H74" s="19">
        <v>6583679691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ht="12.5">
      <c r="A75" s="19" t="s">
        <v>1007</v>
      </c>
      <c r="B75" s="19" t="s">
        <v>1503</v>
      </c>
      <c r="C75" s="19" t="str">
        <f t="shared" si="1"/>
        <v>Kevin -</v>
      </c>
      <c r="D75" s="19" t="s">
        <v>1489</v>
      </c>
      <c r="E75" s="19" t="s">
        <v>2647</v>
      </c>
      <c r="F75" s="19" t="s">
        <v>4</v>
      </c>
      <c r="G75" s="19" t="s">
        <v>2648</v>
      </c>
      <c r="H75" s="19">
        <v>81239899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ht="12.5">
      <c r="A76" s="19" t="s">
        <v>2649</v>
      </c>
      <c r="B76" s="19" t="s">
        <v>1503</v>
      </c>
      <c r="C76" s="19" t="str">
        <f t="shared" si="1"/>
        <v>Joey -</v>
      </c>
      <c r="D76" s="19" t="s">
        <v>1489</v>
      </c>
      <c r="E76" s="19" t="s">
        <v>2650</v>
      </c>
      <c r="F76" s="19" t="s">
        <v>4</v>
      </c>
      <c r="G76" s="19" t="s">
        <v>2651</v>
      </c>
      <c r="H76" s="19">
        <v>81684821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ht="12.5">
      <c r="A77" s="19" t="s">
        <v>2652</v>
      </c>
      <c r="B77" s="19" t="s">
        <v>1503</v>
      </c>
      <c r="C77" s="19" t="str">
        <f t="shared" si="1"/>
        <v>Panagiotis -</v>
      </c>
      <c r="D77" s="19" t="s">
        <v>1489</v>
      </c>
      <c r="E77" s="19" t="s">
        <v>2653</v>
      </c>
      <c r="F77" s="19" t="s">
        <v>4</v>
      </c>
      <c r="G77" s="19" t="s">
        <v>2654</v>
      </c>
      <c r="H77" s="19">
        <v>96215452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ht="12.5">
      <c r="A78" s="19" t="s">
        <v>2655</v>
      </c>
      <c r="B78" s="19" t="s">
        <v>1503</v>
      </c>
      <c r="C78" s="19" t="str">
        <f t="shared" si="1"/>
        <v>Marcus choo -</v>
      </c>
      <c r="D78" s="19" t="s">
        <v>1489</v>
      </c>
      <c r="E78" s="19" t="s">
        <v>2656</v>
      </c>
      <c r="F78" s="19" t="s">
        <v>4</v>
      </c>
      <c r="G78" s="19" t="s">
        <v>2657</v>
      </c>
      <c r="H78" s="19">
        <v>91800046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ht="12.5">
      <c r="A79" s="19" t="s">
        <v>372</v>
      </c>
      <c r="B79" s="19" t="s">
        <v>1503</v>
      </c>
      <c r="C79" s="19" t="str">
        <f t="shared" si="1"/>
        <v>Tan -</v>
      </c>
      <c r="D79" s="19" t="s">
        <v>1489</v>
      </c>
      <c r="E79" s="19" t="s">
        <v>2658</v>
      </c>
      <c r="F79" s="19" t="s">
        <v>4</v>
      </c>
      <c r="G79" s="19" t="s">
        <v>2659</v>
      </c>
      <c r="H79" s="19" t="s">
        <v>842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ht="12.5">
      <c r="A80" s="19" t="s">
        <v>2660</v>
      </c>
      <c r="B80" s="19" t="s">
        <v>2298</v>
      </c>
      <c r="C80" s="19" t="str">
        <f t="shared" si="1"/>
        <v>Edmund Toh</v>
      </c>
      <c r="D80" s="19" t="s">
        <v>1489</v>
      </c>
      <c r="E80" s="19" t="s">
        <v>2661</v>
      </c>
      <c r="F80" s="19" t="s">
        <v>4</v>
      </c>
      <c r="G80" s="19" t="s">
        <v>2662</v>
      </c>
      <c r="H80" s="19">
        <v>97970045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ht="12.5">
      <c r="A81" s="19" t="s">
        <v>2583</v>
      </c>
      <c r="B81" s="19" t="s">
        <v>1503</v>
      </c>
      <c r="C81" s="19" t="str">
        <f t="shared" si="1"/>
        <v>Suchana -</v>
      </c>
      <c r="D81" s="19" t="s">
        <v>1489</v>
      </c>
      <c r="E81" s="19" t="s">
        <v>2584</v>
      </c>
      <c r="F81" s="19" t="s">
        <v>4</v>
      </c>
      <c r="G81" s="19" t="s">
        <v>2585</v>
      </c>
      <c r="H81" s="19" t="s">
        <v>842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2.5">
      <c r="A82" s="19" t="s">
        <v>4633</v>
      </c>
      <c r="B82" s="19" t="s">
        <v>1503</v>
      </c>
      <c r="C82" s="19" t="str">
        <f t="shared" si="1"/>
        <v>Adelene -</v>
      </c>
      <c r="D82" s="19" t="s">
        <v>1489</v>
      </c>
      <c r="E82" s="19" t="s">
        <v>2663</v>
      </c>
      <c r="F82" s="19" t="s">
        <v>4</v>
      </c>
      <c r="G82" s="19" t="s">
        <v>2664</v>
      </c>
      <c r="H82" s="19">
        <v>87137037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23">
      <c r="A83" s="19" t="s">
        <v>4634</v>
      </c>
      <c r="B83" s="19" t="s">
        <v>4763</v>
      </c>
      <c r="C83" s="19" t="str">
        <f t="shared" si="1"/>
        <v>Sreedhara M</v>
      </c>
      <c r="D83" s="19" t="s">
        <v>1489</v>
      </c>
      <c r="E83" s="19" t="s">
        <v>2665</v>
      </c>
      <c r="F83" s="19" t="s">
        <v>4</v>
      </c>
      <c r="G83" s="19" t="s">
        <v>2666</v>
      </c>
      <c r="H83" s="19">
        <v>91015589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ht="23">
      <c r="A84" s="19" t="s">
        <v>4635</v>
      </c>
      <c r="B84" s="19" t="s">
        <v>4764</v>
      </c>
      <c r="C84" s="19" t="str">
        <f t="shared" si="1"/>
        <v>Raghavendra Sastry</v>
      </c>
      <c r="D84" s="19" t="s">
        <v>1489</v>
      </c>
      <c r="E84" s="19" t="s">
        <v>2667</v>
      </c>
      <c r="F84" s="19" t="s">
        <v>4</v>
      </c>
      <c r="G84" s="19" t="s">
        <v>2668</v>
      </c>
      <c r="H84" s="19">
        <v>97365800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12.5">
      <c r="A85" s="19" t="s">
        <v>453</v>
      </c>
      <c r="B85" s="19" t="s">
        <v>4765</v>
      </c>
      <c r="C85" s="19" t="str">
        <f t="shared" si="1"/>
        <v>Jessie Xing</v>
      </c>
      <c r="D85" s="19" t="s">
        <v>1489</v>
      </c>
      <c r="E85" s="19" t="s">
        <v>2669</v>
      </c>
      <c r="F85" s="19" t="s">
        <v>4</v>
      </c>
      <c r="G85" s="19" t="s">
        <v>2670</v>
      </c>
      <c r="H85" s="19">
        <v>86557158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ht="12.5">
      <c r="A86" s="19" t="s">
        <v>4636</v>
      </c>
      <c r="B86" s="19" t="s">
        <v>1503</v>
      </c>
      <c r="C86" s="19" t="str">
        <f t="shared" si="1"/>
        <v>shaarman -</v>
      </c>
      <c r="D86" s="19" t="s">
        <v>1489</v>
      </c>
      <c r="E86" s="19" t="s">
        <v>2671</v>
      </c>
      <c r="F86" s="19" t="s">
        <v>4</v>
      </c>
      <c r="G86" s="19" t="s">
        <v>2672</v>
      </c>
      <c r="H86" s="19">
        <v>91377460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ht="12.5">
      <c r="A87" s="19" t="s">
        <v>2797</v>
      </c>
      <c r="B87" s="19" t="s">
        <v>682</v>
      </c>
      <c r="C87" s="19" t="str">
        <f t="shared" si="1"/>
        <v>Thina Nguyen</v>
      </c>
      <c r="D87" s="19" t="s">
        <v>1489</v>
      </c>
      <c r="E87" s="19" t="s">
        <v>2673</v>
      </c>
      <c r="F87" s="19" t="s">
        <v>4</v>
      </c>
      <c r="G87" s="19" t="s">
        <v>2674</v>
      </c>
      <c r="H87" s="19">
        <v>97850221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2.5">
      <c r="A88" s="19" t="s">
        <v>1929</v>
      </c>
      <c r="B88" s="19" t="s">
        <v>1503</v>
      </c>
      <c r="C88" s="19" t="str">
        <f t="shared" si="1"/>
        <v>Jennifer -</v>
      </c>
      <c r="D88" s="19" t="s">
        <v>1489</v>
      </c>
      <c r="E88" s="19" t="s">
        <v>2675</v>
      </c>
      <c r="F88" s="19" t="s">
        <v>4</v>
      </c>
      <c r="G88" s="19" t="s">
        <v>2676</v>
      </c>
      <c r="H88" s="19">
        <v>8268666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2.5">
      <c r="A89" s="19" t="s">
        <v>4491</v>
      </c>
      <c r="B89" s="19" t="s">
        <v>1503</v>
      </c>
      <c r="C89" s="19" t="str">
        <f t="shared" si="1"/>
        <v>Jonathan -</v>
      </c>
      <c r="D89" s="19" t="s">
        <v>1489</v>
      </c>
      <c r="E89" s="19" t="s">
        <v>2677</v>
      </c>
      <c r="F89" s="19" t="s">
        <v>4</v>
      </c>
      <c r="G89" s="19" t="s">
        <v>2678</v>
      </c>
      <c r="H89" s="19">
        <v>96273501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23">
      <c r="A90" s="19" t="s">
        <v>4394</v>
      </c>
      <c r="B90" s="19" t="s">
        <v>4394</v>
      </c>
      <c r="C90" s="19" t="str">
        <f t="shared" si="1"/>
        <v xml:space="preserve"> </v>
      </c>
      <c r="D90" s="19" t="s">
        <v>1489</v>
      </c>
      <c r="E90" s="19" t="s">
        <v>2679</v>
      </c>
      <c r="F90" s="19" t="s">
        <v>4</v>
      </c>
      <c r="G90" s="19" t="s">
        <v>2680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12.5">
      <c r="A91" s="19" t="s">
        <v>4637</v>
      </c>
      <c r="B91" s="19" t="s">
        <v>1503</v>
      </c>
      <c r="C91" s="19" t="str">
        <f t="shared" si="1"/>
        <v>Juergen -</v>
      </c>
      <c r="D91" s="19" t="s">
        <v>1489</v>
      </c>
      <c r="E91" s="19" t="s">
        <v>2681</v>
      </c>
      <c r="F91" s="19" t="s">
        <v>4</v>
      </c>
      <c r="G91" s="19" t="s">
        <v>2682</v>
      </c>
      <c r="H91" s="19">
        <v>66831529989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2.5">
      <c r="A92" s="19" t="s">
        <v>1038</v>
      </c>
      <c r="B92" s="19" t="s">
        <v>4766</v>
      </c>
      <c r="C92" s="19" t="str">
        <f t="shared" si="1"/>
        <v>Joanne Chippy</v>
      </c>
      <c r="D92" s="19" t="s">
        <v>1489</v>
      </c>
      <c r="E92" s="19" t="s">
        <v>2683</v>
      </c>
      <c r="F92" s="19" t="s">
        <v>4</v>
      </c>
      <c r="G92" s="19" t="s">
        <v>2643</v>
      </c>
      <c r="H92" s="19">
        <v>88114497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2.5">
      <c r="A93" s="19" t="s">
        <v>4483</v>
      </c>
      <c r="B93" s="19" t="s">
        <v>1503</v>
      </c>
      <c r="C93" s="19" t="str">
        <f t="shared" si="1"/>
        <v>Veera -</v>
      </c>
      <c r="D93" s="19" t="s">
        <v>1489</v>
      </c>
      <c r="E93" s="19" t="s">
        <v>2684</v>
      </c>
      <c r="F93" s="19" t="s">
        <v>4</v>
      </c>
      <c r="G93" s="19" t="s">
        <v>2685</v>
      </c>
      <c r="H93" s="19">
        <v>91853360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2.5">
      <c r="A94" s="19" t="s">
        <v>4638</v>
      </c>
      <c r="B94" s="19" t="s">
        <v>1503</v>
      </c>
      <c r="C94" s="19" t="str">
        <f t="shared" si="1"/>
        <v>Dani -</v>
      </c>
      <c r="D94" s="19" t="s">
        <v>1489</v>
      </c>
      <c r="E94" s="19" t="s">
        <v>2686</v>
      </c>
      <c r="F94" s="19" t="s">
        <v>4</v>
      </c>
      <c r="G94" s="19" t="s">
        <v>2687</v>
      </c>
      <c r="H94" s="19">
        <v>91827019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2.5">
      <c r="A95" s="19" t="s">
        <v>4394</v>
      </c>
      <c r="B95" s="19" t="s">
        <v>4394</v>
      </c>
      <c r="C95" s="19" t="str">
        <f t="shared" si="1"/>
        <v xml:space="preserve"> </v>
      </c>
      <c r="D95" s="19" t="s">
        <v>1489</v>
      </c>
      <c r="E95" s="19" t="s">
        <v>2688</v>
      </c>
      <c r="F95" s="19" t="s">
        <v>4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2.5">
      <c r="A96" s="19" t="s">
        <v>2904</v>
      </c>
      <c r="B96" s="19" t="s">
        <v>1503</v>
      </c>
      <c r="C96" s="19" t="str">
        <f t="shared" si="1"/>
        <v>Kristabel -</v>
      </c>
      <c r="D96" s="19" t="s">
        <v>1489</v>
      </c>
      <c r="E96" s="19" t="s">
        <v>2689</v>
      </c>
      <c r="F96" s="19" t="s">
        <v>4</v>
      </c>
      <c r="G96" s="19" t="s">
        <v>2690</v>
      </c>
      <c r="H96" s="19" t="s">
        <v>1503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2.5">
      <c r="A97" s="19" t="s">
        <v>1319</v>
      </c>
      <c r="B97" s="19" t="s">
        <v>1503</v>
      </c>
      <c r="C97" s="19" t="str">
        <f t="shared" si="1"/>
        <v>Tony -</v>
      </c>
      <c r="D97" s="19" t="s">
        <v>1489</v>
      </c>
      <c r="E97" s="19" t="s">
        <v>2691</v>
      </c>
      <c r="F97" s="19" t="s">
        <v>4</v>
      </c>
      <c r="G97" s="20" t="s">
        <v>2692</v>
      </c>
      <c r="H97" s="19">
        <v>96922116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2.5">
      <c r="A98" s="19" t="s">
        <v>2232</v>
      </c>
      <c r="B98" s="19" t="s">
        <v>4394</v>
      </c>
      <c r="C98" s="19" t="str">
        <f t="shared" si="1"/>
        <v xml:space="preserve">Catherine </v>
      </c>
      <c r="D98" s="19" t="s">
        <v>1489</v>
      </c>
      <c r="E98" s="19" t="s">
        <v>2693</v>
      </c>
      <c r="F98" s="19" t="s">
        <v>4</v>
      </c>
      <c r="G98" s="20" t="s">
        <v>2694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23">
      <c r="A99" s="19" t="s">
        <v>4394</v>
      </c>
      <c r="B99" s="19" t="s">
        <v>4394</v>
      </c>
      <c r="C99" s="19" t="str">
        <f t="shared" si="1"/>
        <v xml:space="preserve"> </v>
      </c>
      <c r="D99" s="19" t="s">
        <v>1489</v>
      </c>
      <c r="E99" s="19" t="s">
        <v>2695</v>
      </c>
      <c r="F99" s="19" t="s">
        <v>4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12.5">
      <c r="A100" s="19" t="s">
        <v>4394</v>
      </c>
      <c r="B100" s="19" t="s">
        <v>4394</v>
      </c>
      <c r="C100" s="19" t="str">
        <f t="shared" si="1"/>
        <v xml:space="preserve"> </v>
      </c>
      <c r="D100" s="19" t="s">
        <v>1489</v>
      </c>
      <c r="E100" s="19" t="s">
        <v>2696</v>
      </c>
      <c r="F100" s="19" t="s">
        <v>4</v>
      </c>
      <c r="G100" s="19" t="s">
        <v>2697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2.5">
      <c r="A101" s="19" t="s">
        <v>4394</v>
      </c>
      <c r="B101" s="19" t="s">
        <v>4394</v>
      </c>
      <c r="C101" s="19" t="str">
        <f t="shared" si="1"/>
        <v xml:space="preserve"> </v>
      </c>
      <c r="D101" s="19" t="s">
        <v>1489</v>
      </c>
      <c r="E101" s="19" t="s">
        <v>2698</v>
      </c>
      <c r="F101" s="19" t="s">
        <v>4</v>
      </c>
      <c r="G101" s="19" t="s">
        <v>2699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2.5">
      <c r="A102" s="19" t="s">
        <v>4394</v>
      </c>
      <c r="B102" s="19" t="s">
        <v>4394</v>
      </c>
      <c r="C102" s="19" t="str">
        <f t="shared" si="1"/>
        <v xml:space="preserve"> </v>
      </c>
      <c r="D102" s="19" t="s">
        <v>1489</v>
      </c>
      <c r="E102" s="19" t="s">
        <v>2700</v>
      </c>
      <c r="F102" s="19" t="s">
        <v>4</v>
      </c>
      <c r="G102" s="19" t="s">
        <v>2701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2.5">
      <c r="A103" s="19" t="s">
        <v>4394</v>
      </c>
      <c r="B103" s="19" t="s">
        <v>4394</v>
      </c>
      <c r="C103" s="19" t="str">
        <f t="shared" si="1"/>
        <v xml:space="preserve"> </v>
      </c>
      <c r="D103" s="19" t="s">
        <v>1489</v>
      </c>
      <c r="E103" s="19" t="s">
        <v>2702</v>
      </c>
      <c r="F103" s="19" t="s">
        <v>4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2.5">
      <c r="A104" s="19" t="s">
        <v>4394</v>
      </c>
      <c r="B104" s="19" t="s">
        <v>4394</v>
      </c>
      <c r="C104" s="19" t="str">
        <f t="shared" si="1"/>
        <v xml:space="preserve"> </v>
      </c>
      <c r="D104" s="19" t="s">
        <v>1489</v>
      </c>
      <c r="E104" s="19" t="s">
        <v>2703</v>
      </c>
      <c r="F104" s="19" t="s">
        <v>4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2.5">
      <c r="A105" s="19" t="s">
        <v>4394</v>
      </c>
      <c r="B105" s="19" t="s">
        <v>4394</v>
      </c>
      <c r="C105" s="19" t="str">
        <f t="shared" si="1"/>
        <v xml:space="preserve"> </v>
      </c>
      <c r="D105" s="19" t="s">
        <v>1489</v>
      </c>
      <c r="E105" s="19" t="s">
        <v>2704</v>
      </c>
      <c r="F105" s="19" t="s">
        <v>4</v>
      </c>
      <c r="G105" s="19" t="s">
        <v>2705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2.5">
      <c r="A106" s="19" t="s">
        <v>4394</v>
      </c>
      <c r="B106" s="19" t="s">
        <v>4394</v>
      </c>
      <c r="C106" s="19" t="str">
        <f t="shared" si="1"/>
        <v xml:space="preserve"> </v>
      </c>
      <c r="D106" s="19" t="s">
        <v>1489</v>
      </c>
      <c r="E106" s="19" t="s">
        <v>2706</v>
      </c>
      <c r="F106" s="19" t="s">
        <v>4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23">
      <c r="A107" s="19" t="s">
        <v>4394</v>
      </c>
      <c r="B107" s="19" t="s">
        <v>4394</v>
      </c>
      <c r="C107" s="19" t="str">
        <f t="shared" si="1"/>
        <v xml:space="preserve"> </v>
      </c>
      <c r="D107" s="19" t="s">
        <v>1489</v>
      </c>
      <c r="E107" s="19" t="s">
        <v>2707</v>
      </c>
      <c r="F107" s="19" t="s">
        <v>4</v>
      </c>
      <c r="G107" s="19" t="s">
        <v>2708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23">
      <c r="A108" s="19" t="s">
        <v>4394</v>
      </c>
      <c r="B108" s="19" t="s">
        <v>4394</v>
      </c>
      <c r="C108" s="19" t="str">
        <f t="shared" si="1"/>
        <v xml:space="preserve"> </v>
      </c>
      <c r="D108" s="19" t="s">
        <v>1489</v>
      </c>
      <c r="E108" s="19" t="s">
        <v>2709</v>
      </c>
      <c r="F108" s="19" t="s">
        <v>4</v>
      </c>
      <c r="G108" s="19" t="s">
        <v>2710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12.5">
      <c r="A109" s="19" t="s">
        <v>4394</v>
      </c>
      <c r="B109" s="19" t="s">
        <v>4394</v>
      </c>
      <c r="C109" s="19" t="str">
        <f t="shared" si="1"/>
        <v xml:space="preserve"> </v>
      </c>
      <c r="D109" s="19" t="s">
        <v>1489</v>
      </c>
      <c r="E109" s="19" t="s">
        <v>2711</v>
      </c>
      <c r="F109" s="19" t="s">
        <v>4</v>
      </c>
      <c r="G109" s="19" t="s">
        <v>2712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2.5">
      <c r="A110" s="19" t="s">
        <v>4639</v>
      </c>
      <c r="B110" s="19" t="s">
        <v>1503</v>
      </c>
      <c r="C110" s="19" t="str">
        <f t="shared" si="1"/>
        <v>Damien -</v>
      </c>
      <c r="D110" s="19" t="s">
        <v>1489</v>
      </c>
      <c r="E110" s="19" t="s">
        <v>2713</v>
      </c>
      <c r="F110" s="19" t="s">
        <v>4</v>
      </c>
      <c r="G110" s="19" t="s">
        <v>1503</v>
      </c>
      <c r="H110" s="19">
        <v>82181870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2.5">
      <c r="A111" s="19" t="s">
        <v>3827</v>
      </c>
      <c r="B111" s="19" t="s">
        <v>4767</v>
      </c>
      <c r="C111" s="19" t="str">
        <f t="shared" si="1"/>
        <v>Bobby Kwan</v>
      </c>
      <c r="D111" s="19" t="s">
        <v>1489</v>
      </c>
      <c r="E111" s="19" t="s">
        <v>2714</v>
      </c>
      <c r="F111" s="19" t="s">
        <v>4</v>
      </c>
      <c r="G111" s="19" t="s">
        <v>2715</v>
      </c>
      <c r="H111" s="19" t="s">
        <v>1503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2.5">
      <c r="A112" s="19" t="s">
        <v>529</v>
      </c>
      <c r="B112" s="19" t="s">
        <v>4768</v>
      </c>
      <c r="C112" s="19" t="str">
        <f t="shared" si="1"/>
        <v>Robert HAn</v>
      </c>
      <c r="D112" s="19" t="s">
        <v>1489</v>
      </c>
      <c r="E112" s="19" t="s">
        <v>2716</v>
      </c>
      <c r="F112" s="19" t="s">
        <v>4</v>
      </c>
      <c r="G112" s="20" t="s">
        <v>2717</v>
      </c>
      <c r="H112" s="19" t="s">
        <v>1503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2.5">
      <c r="A113" s="19" t="s">
        <v>4640</v>
      </c>
      <c r="B113" s="19" t="s">
        <v>4769</v>
      </c>
      <c r="C113" s="19" t="str">
        <f t="shared" si="1"/>
        <v>Akemi Lizumi</v>
      </c>
      <c r="D113" s="19" t="s">
        <v>1489</v>
      </c>
      <c r="E113" s="19" t="s">
        <v>2718</v>
      </c>
      <c r="F113" s="19" t="s">
        <v>4</v>
      </c>
      <c r="G113" s="19" t="s">
        <v>1503</v>
      </c>
      <c r="H113" s="19" t="s">
        <v>2719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2.5">
      <c r="A114" s="19" t="s">
        <v>1503</v>
      </c>
      <c r="B114" s="19" t="s">
        <v>1503</v>
      </c>
      <c r="C114" s="19" t="str">
        <f t="shared" si="1"/>
        <v>- -</v>
      </c>
      <c r="D114" s="19" t="s">
        <v>1489</v>
      </c>
      <c r="E114" s="19" t="s">
        <v>2720</v>
      </c>
      <c r="F114" s="19" t="s">
        <v>4</v>
      </c>
      <c r="G114" s="19" t="s">
        <v>1503</v>
      </c>
      <c r="H114" s="19" t="s">
        <v>2721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2.5">
      <c r="A115" s="19" t="s">
        <v>4394</v>
      </c>
      <c r="B115" s="19" t="s">
        <v>4394</v>
      </c>
      <c r="C115" s="19" t="str">
        <f t="shared" si="1"/>
        <v xml:space="preserve"> </v>
      </c>
      <c r="D115" s="19" t="s">
        <v>1489</v>
      </c>
      <c r="E115" s="19" t="s">
        <v>2722</v>
      </c>
      <c r="F115" s="19" t="s">
        <v>4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2.5">
      <c r="A116" s="19" t="s">
        <v>4394</v>
      </c>
      <c r="B116" s="19" t="s">
        <v>4394</v>
      </c>
      <c r="C116" s="19" t="str">
        <f t="shared" si="1"/>
        <v xml:space="preserve"> </v>
      </c>
      <c r="D116" s="19" t="s">
        <v>1489</v>
      </c>
      <c r="E116" s="19" t="s">
        <v>2723</v>
      </c>
      <c r="F116" s="19" t="s">
        <v>4</v>
      </c>
      <c r="G116" s="19"/>
      <c r="H116" s="19">
        <v>81239557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2.5">
      <c r="A117" s="19" t="s">
        <v>1503</v>
      </c>
      <c r="B117" s="19" t="s">
        <v>1503</v>
      </c>
      <c r="C117" s="19" t="str">
        <f t="shared" si="1"/>
        <v>- -</v>
      </c>
      <c r="D117" s="19" t="s">
        <v>1489</v>
      </c>
      <c r="E117" s="19" t="s">
        <v>2724</v>
      </c>
      <c r="F117" s="19" t="s">
        <v>4</v>
      </c>
      <c r="G117" s="20" t="s">
        <v>2725</v>
      </c>
      <c r="H117" s="19">
        <v>63388944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2.5">
      <c r="A118" s="19" t="s">
        <v>4394</v>
      </c>
      <c r="B118" s="19" t="s">
        <v>4394</v>
      </c>
      <c r="C118" s="19" t="str">
        <f t="shared" si="1"/>
        <v xml:space="preserve"> </v>
      </c>
      <c r="D118" s="19" t="s">
        <v>1489</v>
      </c>
      <c r="E118" s="19" t="s">
        <v>2726</v>
      </c>
      <c r="F118" s="19" t="s">
        <v>4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2.5">
      <c r="A119" s="19" t="s">
        <v>1503</v>
      </c>
      <c r="B119" s="19" t="s">
        <v>1503</v>
      </c>
      <c r="C119" s="19" t="str">
        <f t="shared" si="1"/>
        <v>- -</v>
      </c>
      <c r="D119" s="19" t="s">
        <v>1489</v>
      </c>
      <c r="E119" s="19" t="s">
        <v>2727</v>
      </c>
      <c r="F119" s="19" t="s">
        <v>4</v>
      </c>
      <c r="G119" s="21" t="s">
        <v>2728</v>
      </c>
      <c r="H119" s="19" t="s">
        <v>2729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2.5">
      <c r="A120" s="19" t="s">
        <v>4394</v>
      </c>
      <c r="B120" s="19" t="s">
        <v>4394</v>
      </c>
      <c r="C120" s="19" t="str">
        <f t="shared" si="1"/>
        <v xml:space="preserve"> </v>
      </c>
      <c r="D120" s="19" t="s">
        <v>1489</v>
      </c>
      <c r="E120" s="19" t="s">
        <v>2730</v>
      </c>
      <c r="F120" s="19" t="s">
        <v>4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2.5">
      <c r="A121" s="19" t="s">
        <v>4445</v>
      </c>
      <c r="B121" s="19" t="s">
        <v>1503</v>
      </c>
      <c r="C121" s="19" t="str">
        <f t="shared" si="1"/>
        <v>Eric -</v>
      </c>
      <c r="D121" s="19" t="s">
        <v>1489</v>
      </c>
      <c r="E121" s="19" t="s">
        <v>2731</v>
      </c>
      <c r="F121" s="19" t="s">
        <v>4</v>
      </c>
      <c r="G121" s="19" t="s">
        <v>2732</v>
      </c>
      <c r="H121" s="19" t="s">
        <v>1503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2.5">
      <c r="A122" s="19" t="s">
        <v>4641</v>
      </c>
      <c r="B122" s="19" t="s">
        <v>1503</v>
      </c>
      <c r="C122" s="19" t="str">
        <f t="shared" si="1"/>
        <v>Yeewei -</v>
      </c>
      <c r="D122" s="19" t="s">
        <v>1489</v>
      </c>
      <c r="E122" s="19" t="s">
        <v>2733</v>
      </c>
      <c r="F122" s="19" t="s">
        <v>4</v>
      </c>
      <c r="G122" s="19" t="s">
        <v>2734</v>
      </c>
      <c r="H122" s="19" t="s">
        <v>1503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2.5">
      <c r="A123" s="19" t="s">
        <v>4606</v>
      </c>
      <c r="B123" s="19" t="s">
        <v>1084</v>
      </c>
      <c r="C123" s="19" t="str">
        <f t="shared" si="1"/>
        <v>Yi Jie</v>
      </c>
      <c r="D123" s="19" t="s">
        <v>1489</v>
      </c>
      <c r="E123" s="19" t="s">
        <v>2735</v>
      </c>
      <c r="F123" s="19" t="s">
        <v>4</v>
      </c>
      <c r="G123" s="19" t="s">
        <v>2736</v>
      </c>
      <c r="H123" s="19" t="s">
        <v>1503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2.5">
      <c r="A124" s="19" t="s">
        <v>431</v>
      </c>
      <c r="B124" s="19" t="s">
        <v>1503</v>
      </c>
      <c r="C124" s="19" t="str">
        <f t="shared" si="1"/>
        <v>Jiayi -</v>
      </c>
      <c r="D124" s="19" t="s">
        <v>1489</v>
      </c>
      <c r="E124" s="19" t="s">
        <v>2737</v>
      </c>
      <c r="F124" s="19" t="s">
        <v>4</v>
      </c>
      <c r="G124" s="19" t="s">
        <v>2738</v>
      </c>
      <c r="H124" s="19">
        <v>97953863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2.5">
      <c r="A125" s="19" t="s">
        <v>4611</v>
      </c>
      <c r="B125" s="19" t="s">
        <v>1503</v>
      </c>
      <c r="C125" s="19" t="str">
        <f t="shared" si="1"/>
        <v>Tang -</v>
      </c>
      <c r="D125" s="19" t="s">
        <v>1489</v>
      </c>
      <c r="E125" s="19" t="s">
        <v>2739</v>
      </c>
      <c r="F125" s="19" t="s">
        <v>4</v>
      </c>
      <c r="G125" s="19" t="s">
        <v>2740</v>
      </c>
      <c r="H125" s="19" t="s">
        <v>1503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2.5">
      <c r="A126" s="19" t="s">
        <v>4642</v>
      </c>
      <c r="B126" s="19" t="s">
        <v>4770</v>
      </c>
      <c r="C126" s="19" t="str">
        <f t="shared" si="1"/>
        <v>Dhon Johnson</v>
      </c>
      <c r="D126" s="19" t="s">
        <v>1489</v>
      </c>
      <c r="E126" s="19" t="s">
        <v>2741</v>
      </c>
      <c r="F126" s="19" t="s">
        <v>4</v>
      </c>
      <c r="G126" s="19" t="s">
        <v>2742</v>
      </c>
      <c r="H126" s="19" t="s">
        <v>1503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2.5">
      <c r="A127" s="19" t="s">
        <v>2846</v>
      </c>
      <c r="B127" s="19" t="s">
        <v>1503</v>
      </c>
      <c r="C127" s="19" t="str">
        <f t="shared" si="1"/>
        <v>Jeff -</v>
      </c>
      <c r="D127" s="19" t="s">
        <v>1489</v>
      </c>
      <c r="E127" s="19" t="s">
        <v>2743</v>
      </c>
      <c r="F127" s="19" t="s">
        <v>4</v>
      </c>
      <c r="G127" s="20" t="s">
        <v>2744</v>
      </c>
      <c r="H127" s="20" t="s">
        <v>2745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2.5">
      <c r="A128" s="19" t="s">
        <v>4643</v>
      </c>
      <c r="B128" s="19" t="s">
        <v>1503</v>
      </c>
      <c r="C128" s="19" t="str">
        <f t="shared" si="1"/>
        <v>Zann -</v>
      </c>
      <c r="D128" s="19" t="s">
        <v>1489</v>
      </c>
      <c r="E128" s="19" t="s">
        <v>2746</v>
      </c>
      <c r="F128" s="19" t="s">
        <v>4</v>
      </c>
      <c r="G128" s="19" t="s">
        <v>2747</v>
      </c>
      <c r="H128" s="19" t="s">
        <v>1503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2.5">
      <c r="A129" s="19" t="s">
        <v>4445</v>
      </c>
      <c r="B129" s="19" t="s">
        <v>2229</v>
      </c>
      <c r="C129" s="19" t="str">
        <f t="shared" si="1"/>
        <v>Eric Foo</v>
      </c>
      <c r="D129" s="19" t="s">
        <v>1489</v>
      </c>
      <c r="E129" s="19" t="s">
        <v>2748</v>
      </c>
      <c r="F129" s="19" t="s">
        <v>4</v>
      </c>
      <c r="G129" s="19" t="s">
        <v>2749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2.5">
      <c r="A130" s="19" t="s">
        <v>469</v>
      </c>
      <c r="B130" s="19" t="s">
        <v>1503</v>
      </c>
      <c r="C130" s="19" t="str">
        <f t="shared" si="1"/>
        <v>Richard -</v>
      </c>
      <c r="D130" s="19" t="s">
        <v>1489</v>
      </c>
      <c r="E130" s="19" t="s">
        <v>2750</v>
      </c>
      <c r="F130" s="19" t="s">
        <v>4</v>
      </c>
      <c r="G130" s="19" t="s">
        <v>2751</v>
      </c>
      <c r="H130" s="19" t="s">
        <v>2752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2.5">
      <c r="A131" s="19" t="s">
        <v>4644</v>
      </c>
      <c r="B131" s="19" t="s">
        <v>1503</v>
      </c>
      <c r="C131" s="19" t="str">
        <f t="shared" ref="C131:C194" si="2">_xlfn.CONCAT(A131," ",B131)</f>
        <v>Miyako -</v>
      </c>
      <c r="D131" s="19" t="s">
        <v>1489</v>
      </c>
      <c r="E131" s="19" t="s">
        <v>2753</v>
      </c>
      <c r="F131" s="19" t="s">
        <v>4</v>
      </c>
      <c r="G131" s="19" t="s">
        <v>2754</v>
      </c>
      <c r="H131" s="19" t="s">
        <v>1503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2.5">
      <c r="A132" s="19" t="s">
        <v>4645</v>
      </c>
      <c r="B132" s="19" t="s">
        <v>2755</v>
      </c>
      <c r="C132" s="19" t="str">
        <f t="shared" si="2"/>
        <v>Yuhang Sun</v>
      </c>
      <c r="D132" s="19" t="s">
        <v>1489</v>
      </c>
      <c r="E132" s="19" t="s">
        <v>2756</v>
      </c>
      <c r="F132" s="19" t="s">
        <v>4</v>
      </c>
      <c r="G132" s="19" t="s">
        <v>2757</v>
      </c>
      <c r="H132" s="19">
        <v>93959206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2.5">
      <c r="A133" s="19" t="s">
        <v>4394</v>
      </c>
      <c r="B133" s="19" t="s">
        <v>4394</v>
      </c>
      <c r="C133" s="19" t="str">
        <f t="shared" si="2"/>
        <v xml:space="preserve"> </v>
      </c>
      <c r="D133" s="19" t="s">
        <v>1489</v>
      </c>
      <c r="E133" s="19" t="s">
        <v>2758</v>
      </c>
      <c r="F133" s="19" t="s">
        <v>4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2.5">
      <c r="A134" s="19" t="s">
        <v>2759</v>
      </c>
      <c r="B134" s="19" t="s">
        <v>1503</v>
      </c>
      <c r="C134" s="19" t="str">
        <f t="shared" si="2"/>
        <v>Sweety -</v>
      </c>
      <c r="D134" s="19" t="s">
        <v>1489</v>
      </c>
      <c r="E134" s="19" t="s">
        <v>2760</v>
      </c>
      <c r="F134" s="19" t="s">
        <v>4</v>
      </c>
      <c r="G134" s="19" t="s">
        <v>1503</v>
      </c>
      <c r="H134" s="19">
        <v>91882527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2.5">
      <c r="A135" s="19" t="s">
        <v>2761</v>
      </c>
      <c r="B135" s="19" t="s">
        <v>1503</v>
      </c>
      <c r="C135" s="19" t="str">
        <f t="shared" si="2"/>
        <v>Shashank -</v>
      </c>
      <c r="D135" s="19" t="s">
        <v>1489</v>
      </c>
      <c r="E135" s="19" t="s">
        <v>2762</v>
      </c>
      <c r="F135" s="19" t="s">
        <v>4</v>
      </c>
      <c r="G135" s="19" t="s">
        <v>2763</v>
      </c>
      <c r="H135" s="19" t="s">
        <v>1503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2.5">
      <c r="A136" s="19" t="s">
        <v>572</v>
      </c>
      <c r="B136" s="19" t="s">
        <v>1503</v>
      </c>
      <c r="C136" s="19" t="str">
        <f t="shared" si="2"/>
        <v>Stella -</v>
      </c>
      <c r="D136" s="19" t="s">
        <v>1489</v>
      </c>
      <c r="E136" s="19" t="s">
        <v>2441</v>
      </c>
      <c r="F136" s="19" t="s">
        <v>4</v>
      </c>
      <c r="G136" s="19" t="s">
        <v>2764</v>
      </c>
      <c r="H136" s="19" t="s">
        <v>2764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2.5">
      <c r="A137" s="19" t="s">
        <v>2597</v>
      </c>
      <c r="B137" s="19" t="s">
        <v>2229</v>
      </c>
      <c r="C137" s="19" t="str">
        <f t="shared" si="2"/>
        <v>Jowel Foo</v>
      </c>
      <c r="D137" s="19" t="s">
        <v>1489</v>
      </c>
      <c r="E137" s="19" t="s">
        <v>2765</v>
      </c>
      <c r="F137" s="19" t="s">
        <v>4</v>
      </c>
      <c r="G137" s="20" t="s">
        <v>2599</v>
      </c>
      <c r="H137" s="19">
        <v>98250065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2.5">
      <c r="A138" s="19" t="s">
        <v>4646</v>
      </c>
      <c r="B138" s="19" t="s">
        <v>576</v>
      </c>
      <c r="C138" s="19" t="str">
        <f t="shared" si="2"/>
        <v>Mdm Yap</v>
      </c>
      <c r="D138" s="19" t="s">
        <v>1489</v>
      </c>
      <c r="E138" s="19" t="s">
        <v>2766</v>
      </c>
      <c r="F138" s="19" t="s">
        <v>4</v>
      </c>
      <c r="G138" s="19" t="s">
        <v>2767</v>
      </c>
      <c r="H138" s="19">
        <v>96332833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2.5">
      <c r="A139" s="19" t="s">
        <v>2768</v>
      </c>
      <c r="B139" s="19" t="s">
        <v>1503</v>
      </c>
      <c r="C139" s="19" t="str">
        <f t="shared" si="2"/>
        <v>Deepthi -</v>
      </c>
      <c r="D139" s="19" t="s">
        <v>1489</v>
      </c>
      <c r="E139" s="19" t="s">
        <v>1504</v>
      </c>
      <c r="F139" s="19" t="s">
        <v>4</v>
      </c>
      <c r="G139" s="19" t="s">
        <v>2769</v>
      </c>
      <c r="H139" s="19">
        <v>87553929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2.5">
      <c r="A140" s="19" t="s">
        <v>2770</v>
      </c>
      <c r="B140" s="19" t="s">
        <v>2771</v>
      </c>
      <c r="C140" s="19" t="str">
        <f t="shared" si="2"/>
        <v>Sherine Wu</v>
      </c>
      <c r="D140" s="19" t="s">
        <v>1489</v>
      </c>
      <c r="E140" s="19" t="s">
        <v>2772</v>
      </c>
      <c r="F140" s="19" t="s">
        <v>4</v>
      </c>
      <c r="G140" s="19" t="s">
        <v>2773</v>
      </c>
      <c r="H140" s="19" t="s">
        <v>2774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2.5">
      <c r="A141" s="19" t="s">
        <v>1130</v>
      </c>
      <c r="B141" s="19" t="s">
        <v>1503</v>
      </c>
      <c r="C141" s="19" t="str">
        <f t="shared" si="2"/>
        <v>Javier -</v>
      </c>
      <c r="D141" s="19" t="s">
        <v>1489</v>
      </c>
      <c r="E141" s="19" t="s">
        <v>2775</v>
      </c>
      <c r="F141" s="19" t="s">
        <v>4</v>
      </c>
      <c r="G141" s="19" t="s">
        <v>2776</v>
      </c>
      <c r="H141" s="19" t="s">
        <v>1503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2.5">
      <c r="A142" s="19" t="s">
        <v>4394</v>
      </c>
      <c r="B142" s="19" t="s">
        <v>4394</v>
      </c>
      <c r="C142" s="19" t="str">
        <f t="shared" si="2"/>
        <v xml:space="preserve"> </v>
      </c>
      <c r="D142" s="19" t="s">
        <v>1489</v>
      </c>
      <c r="E142" s="19" t="s">
        <v>2777</v>
      </c>
      <c r="F142" s="19" t="s">
        <v>4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2.5">
      <c r="A143" s="19" t="s">
        <v>1027</v>
      </c>
      <c r="B143" s="19" t="s">
        <v>1503</v>
      </c>
      <c r="C143" s="19" t="str">
        <f t="shared" si="2"/>
        <v>Vincent -</v>
      </c>
      <c r="D143" s="19" t="s">
        <v>1489</v>
      </c>
      <c r="E143" s="19" t="s">
        <v>2778</v>
      </c>
      <c r="F143" s="19" t="s">
        <v>4</v>
      </c>
      <c r="G143" s="19" t="s">
        <v>2779</v>
      </c>
      <c r="H143" s="19">
        <v>91386330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2.5">
      <c r="A144" s="19" t="s">
        <v>4394</v>
      </c>
      <c r="B144" s="19" t="s">
        <v>4394</v>
      </c>
      <c r="C144" s="19" t="str">
        <f t="shared" si="2"/>
        <v xml:space="preserve"> </v>
      </c>
      <c r="D144" s="19" t="s">
        <v>1489</v>
      </c>
      <c r="E144" s="19" t="s">
        <v>2780</v>
      </c>
      <c r="F144" s="19" t="s">
        <v>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2.5">
      <c r="A145" s="19" t="s">
        <v>4394</v>
      </c>
      <c r="B145" s="19" t="s">
        <v>4394</v>
      </c>
      <c r="C145" s="19" t="str">
        <f t="shared" si="2"/>
        <v xml:space="preserve"> </v>
      </c>
      <c r="D145" s="19" t="s">
        <v>1489</v>
      </c>
      <c r="E145" s="19" t="s">
        <v>2781</v>
      </c>
      <c r="F145" s="19" t="s">
        <v>4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23">
      <c r="A146" s="19" t="s">
        <v>4394</v>
      </c>
      <c r="B146" s="19" t="s">
        <v>4394</v>
      </c>
      <c r="C146" s="19" t="str">
        <f t="shared" si="2"/>
        <v xml:space="preserve"> </v>
      </c>
      <c r="D146" s="19" t="s">
        <v>1489</v>
      </c>
      <c r="E146" s="19" t="s">
        <v>2782</v>
      </c>
      <c r="F146" s="19" t="s">
        <v>4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12.5">
      <c r="A147" s="19" t="s">
        <v>4394</v>
      </c>
      <c r="B147" s="19" t="s">
        <v>4394</v>
      </c>
      <c r="C147" s="19" t="str">
        <f t="shared" si="2"/>
        <v xml:space="preserve"> </v>
      </c>
      <c r="D147" s="19" t="s">
        <v>1489</v>
      </c>
      <c r="E147" s="19" t="s">
        <v>2783</v>
      </c>
      <c r="F147" s="19" t="s">
        <v>4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23">
      <c r="A148" s="19" t="s">
        <v>2232</v>
      </c>
      <c r="B148" s="19" t="s">
        <v>450</v>
      </c>
      <c r="C148" s="19" t="str">
        <f t="shared" si="2"/>
        <v>Catherine C</v>
      </c>
      <c r="D148" s="19" t="s">
        <v>1489</v>
      </c>
      <c r="E148" s="19" t="s">
        <v>2784</v>
      </c>
      <c r="F148" s="19" t="s">
        <v>4</v>
      </c>
      <c r="G148" s="19" t="s">
        <v>2785</v>
      </c>
      <c r="H148" s="19" t="s">
        <v>2786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12.5">
      <c r="A149" s="19" t="s">
        <v>4647</v>
      </c>
      <c r="B149" s="19" t="s">
        <v>372</v>
      </c>
      <c r="C149" s="19" t="str">
        <f t="shared" si="2"/>
        <v>Irene Tan</v>
      </c>
      <c r="D149" s="19" t="s">
        <v>1489</v>
      </c>
      <c r="E149" s="19" t="s">
        <v>2787</v>
      </c>
      <c r="F149" s="19" t="s">
        <v>4</v>
      </c>
      <c r="G149" s="19" t="s">
        <v>2788</v>
      </c>
      <c r="H149" s="19">
        <v>91832788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2.5">
      <c r="A150" s="19" t="s">
        <v>2007</v>
      </c>
      <c r="B150" s="19" t="s">
        <v>1503</v>
      </c>
      <c r="C150" s="19" t="str">
        <f t="shared" si="2"/>
        <v>Sebastian -</v>
      </c>
      <c r="D150" s="19" t="s">
        <v>1489</v>
      </c>
      <c r="E150" s="19" t="s">
        <v>2789</v>
      </c>
      <c r="F150" s="19" t="s">
        <v>4</v>
      </c>
      <c r="G150" s="19" t="s">
        <v>2790</v>
      </c>
      <c r="H150" s="19" t="s">
        <v>2791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23">
      <c r="A151" s="19" t="s">
        <v>2874</v>
      </c>
      <c r="B151" s="19" t="s">
        <v>1503</v>
      </c>
      <c r="C151" s="19" t="str">
        <f t="shared" si="2"/>
        <v>Rupert -</v>
      </c>
      <c r="D151" s="19" t="s">
        <v>1489</v>
      </c>
      <c r="E151" s="19" t="s">
        <v>2792</v>
      </c>
      <c r="F151" s="19" t="s">
        <v>4</v>
      </c>
      <c r="G151" s="19" t="s">
        <v>2793</v>
      </c>
      <c r="H151" s="19" t="s">
        <v>2793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23">
      <c r="A152" s="19" t="s">
        <v>1271</v>
      </c>
      <c r="B152" s="19" t="s">
        <v>2794</v>
      </c>
      <c r="C152" s="19" t="str">
        <f t="shared" si="2"/>
        <v>Christina Joseph</v>
      </c>
      <c r="D152" s="19" t="s">
        <v>1489</v>
      </c>
      <c r="E152" s="19" t="s">
        <v>2795</v>
      </c>
      <c r="F152" s="19" t="s">
        <v>4</v>
      </c>
      <c r="G152" s="19" t="s">
        <v>2796</v>
      </c>
      <c r="H152" s="19">
        <v>82264699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12.5">
      <c r="A153" s="19" t="s">
        <v>2797</v>
      </c>
      <c r="B153" s="19" t="s">
        <v>1503</v>
      </c>
      <c r="C153" s="19" t="str">
        <f t="shared" si="2"/>
        <v>Thina -</v>
      </c>
      <c r="D153" s="19" t="s">
        <v>1489</v>
      </c>
      <c r="E153" s="19" t="s">
        <v>2798</v>
      </c>
      <c r="F153" s="19" t="s">
        <v>4</v>
      </c>
      <c r="G153" s="19" t="s">
        <v>2674</v>
      </c>
      <c r="H153" s="19">
        <v>97850221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2.5">
      <c r="A154" s="19" t="s">
        <v>2586</v>
      </c>
      <c r="B154" s="19" t="s">
        <v>1503</v>
      </c>
      <c r="C154" s="19" t="str">
        <f t="shared" si="2"/>
        <v>Nisar -</v>
      </c>
      <c r="D154" s="19" t="s">
        <v>1489</v>
      </c>
      <c r="E154" s="19" t="s">
        <v>2799</v>
      </c>
      <c r="F154" s="19" t="s">
        <v>4</v>
      </c>
      <c r="G154" s="19" t="s">
        <v>2588</v>
      </c>
      <c r="H154" s="19">
        <v>91461684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23">
      <c r="A155" s="19" t="s">
        <v>2800</v>
      </c>
      <c r="B155" s="19" t="s">
        <v>1503</v>
      </c>
      <c r="C155" s="19" t="str">
        <f t="shared" si="2"/>
        <v>NAN Yee Mon Aung -</v>
      </c>
      <c r="D155" s="19" t="s">
        <v>1489</v>
      </c>
      <c r="E155" s="19" t="s">
        <v>2801</v>
      </c>
      <c r="F155" s="19" t="s">
        <v>4</v>
      </c>
      <c r="G155" s="19" t="s">
        <v>2802</v>
      </c>
      <c r="H155" s="19">
        <v>92964455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12.5">
      <c r="A156" s="19" t="s">
        <v>2239</v>
      </c>
      <c r="B156" s="19" t="s">
        <v>1503</v>
      </c>
      <c r="C156" s="19" t="str">
        <f t="shared" si="2"/>
        <v>James -</v>
      </c>
      <c r="D156" s="19" t="s">
        <v>1489</v>
      </c>
      <c r="E156" s="19" t="s">
        <v>2803</v>
      </c>
      <c r="F156" s="19" t="s">
        <v>4</v>
      </c>
      <c r="G156" s="19" t="s">
        <v>2510</v>
      </c>
      <c r="H156" s="19">
        <v>82929609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2.5">
      <c r="A157" s="19" t="s">
        <v>2804</v>
      </c>
      <c r="B157" s="19" t="s">
        <v>1503</v>
      </c>
      <c r="C157" s="19" t="str">
        <f t="shared" si="2"/>
        <v>Lionel -</v>
      </c>
      <c r="D157" s="19" t="s">
        <v>1489</v>
      </c>
      <c r="E157" s="19" t="s">
        <v>2805</v>
      </c>
      <c r="F157" s="19" t="s">
        <v>4</v>
      </c>
      <c r="G157" s="19" t="s">
        <v>2806</v>
      </c>
      <c r="H157" s="19">
        <v>81820454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2.5">
      <c r="A158" s="19" t="s">
        <v>2807</v>
      </c>
      <c r="B158" s="19" t="s">
        <v>1503</v>
      </c>
      <c r="C158" s="19" t="str">
        <f t="shared" si="2"/>
        <v>Sandy -</v>
      </c>
      <c r="D158" s="19" t="s">
        <v>1489</v>
      </c>
      <c r="E158" s="19" t="s">
        <v>2688</v>
      </c>
      <c r="F158" s="19" t="s">
        <v>4</v>
      </c>
      <c r="G158" s="19" t="s">
        <v>2808</v>
      </c>
      <c r="H158" s="19">
        <v>85713041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2.5">
      <c r="A159" s="19" t="s">
        <v>2809</v>
      </c>
      <c r="B159" s="19" t="s">
        <v>1503</v>
      </c>
      <c r="C159" s="19" t="str">
        <f t="shared" si="2"/>
        <v>Zac -</v>
      </c>
      <c r="D159" s="19" t="s">
        <v>1489</v>
      </c>
      <c r="E159" s="19" t="s">
        <v>2810</v>
      </c>
      <c r="F159" s="19" t="s">
        <v>4</v>
      </c>
      <c r="G159" s="19" t="s">
        <v>2811</v>
      </c>
      <c r="H159" s="19">
        <v>91592303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2.5">
      <c r="A160" s="19" t="s">
        <v>437</v>
      </c>
      <c r="B160" s="19" t="s">
        <v>1503</v>
      </c>
      <c r="C160" s="19" t="str">
        <f t="shared" si="2"/>
        <v>Brian -</v>
      </c>
      <c r="D160" s="19" t="s">
        <v>1489</v>
      </c>
      <c r="E160" s="19" t="s">
        <v>2813</v>
      </c>
      <c r="F160" s="19" t="s">
        <v>4</v>
      </c>
      <c r="G160" s="19" t="s">
        <v>2814</v>
      </c>
      <c r="H160" s="19">
        <v>67504504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23">
      <c r="A161" s="19" t="s">
        <v>2815</v>
      </c>
      <c r="B161" s="19" t="s">
        <v>1503</v>
      </c>
      <c r="C161" s="19" t="str">
        <f t="shared" si="2"/>
        <v>Philips -</v>
      </c>
      <c r="D161" s="19" t="s">
        <v>1489</v>
      </c>
      <c r="E161" s="19" t="s">
        <v>2800</v>
      </c>
      <c r="F161" s="19" t="s">
        <v>4</v>
      </c>
      <c r="G161" s="19" t="s">
        <v>2802</v>
      </c>
      <c r="H161" s="19">
        <v>92964455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12.5">
      <c r="A162" s="19" t="s">
        <v>4648</v>
      </c>
      <c r="B162" s="19" t="s">
        <v>2816</v>
      </c>
      <c r="C162" s="19" t="str">
        <f t="shared" si="2"/>
        <v>Nur Fayidha</v>
      </c>
      <c r="D162" s="19" t="s">
        <v>1489</v>
      </c>
      <c r="E162" s="19" t="s">
        <v>2817</v>
      </c>
      <c r="F162" s="19" t="s">
        <v>4</v>
      </c>
      <c r="G162" s="19" t="s">
        <v>2588</v>
      </c>
      <c r="H162" s="19">
        <v>91461684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2.5">
      <c r="A163" s="19" t="s">
        <v>2239</v>
      </c>
      <c r="B163" s="19" t="s">
        <v>1503</v>
      </c>
      <c r="C163" s="19" t="str">
        <f t="shared" si="2"/>
        <v>James -</v>
      </c>
      <c r="D163" s="19" t="s">
        <v>1489</v>
      </c>
      <c r="E163" s="19" t="s">
        <v>2818</v>
      </c>
      <c r="F163" s="19" t="s">
        <v>4</v>
      </c>
      <c r="G163" s="19" t="s">
        <v>2510</v>
      </c>
      <c r="H163" s="19" t="s">
        <v>1503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2.5">
      <c r="A164" s="19" t="s">
        <v>2819</v>
      </c>
      <c r="B164" s="19" t="s">
        <v>2820</v>
      </c>
      <c r="C164" s="19" t="str">
        <f t="shared" si="2"/>
        <v>Navin Singham</v>
      </c>
      <c r="D164" s="19" t="s">
        <v>1489</v>
      </c>
      <c r="E164" s="19" t="s">
        <v>1105</v>
      </c>
      <c r="F164" s="19" t="s">
        <v>4</v>
      </c>
      <c r="G164" s="19" t="s">
        <v>2821</v>
      </c>
      <c r="H164" s="19" t="s">
        <v>1503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2.5">
      <c r="A165" s="19" t="s">
        <v>2597</v>
      </c>
      <c r="B165" s="19" t="s">
        <v>2229</v>
      </c>
      <c r="C165" s="19" t="str">
        <f t="shared" si="2"/>
        <v>Jowel Foo</v>
      </c>
      <c r="D165" s="19" t="s">
        <v>1489</v>
      </c>
      <c r="E165" s="19" t="s">
        <v>2765</v>
      </c>
      <c r="F165" s="19" t="s">
        <v>4</v>
      </c>
      <c r="G165" s="19" t="s">
        <v>2599</v>
      </c>
      <c r="H165" s="19" t="s">
        <v>2822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2.5">
      <c r="A166" s="19" t="s">
        <v>2823</v>
      </c>
      <c r="B166" s="19" t="s">
        <v>1503</v>
      </c>
      <c r="C166" s="19" t="str">
        <f t="shared" si="2"/>
        <v>Jamal -</v>
      </c>
      <c r="D166" s="19" t="s">
        <v>1489</v>
      </c>
      <c r="E166" s="19" t="s">
        <v>2824</v>
      </c>
      <c r="F166" s="19" t="s">
        <v>4</v>
      </c>
      <c r="G166" s="19" t="s">
        <v>2825</v>
      </c>
      <c r="H166" s="19" t="s">
        <v>1503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2.5">
      <c r="A167" s="19" t="s">
        <v>4649</v>
      </c>
      <c r="B167" s="19" t="s">
        <v>2826</v>
      </c>
      <c r="C167" s="19" t="str">
        <f t="shared" si="2"/>
        <v>Hwai Chi</v>
      </c>
      <c r="D167" s="19" t="s">
        <v>1489</v>
      </c>
      <c r="E167" s="19" t="s">
        <v>2827</v>
      </c>
      <c r="F167" s="19" t="s">
        <v>4</v>
      </c>
      <c r="G167" s="19" t="s">
        <v>2825</v>
      </c>
      <c r="H167" s="19" t="s">
        <v>1503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2.5">
      <c r="A168" s="19" t="s">
        <v>2828</v>
      </c>
      <c r="B168" s="19" t="s">
        <v>1503</v>
      </c>
      <c r="C168" s="19" t="str">
        <f t="shared" si="2"/>
        <v>Tomo -</v>
      </c>
      <c r="D168" s="19" t="s">
        <v>1489</v>
      </c>
      <c r="E168" s="19" t="s">
        <v>1645</v>
      </c>
      <c r="F168" s="19" t="s">
        <v>4</v>
      </c>
      <c r="G168" s="19" t="s">
        <v>2829</v>
      </c>
      <c r="H168" s="19" t="s">
        <v>1503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23">
      <c r="A169" s="19" t="s">
        <v>572</v>
      </c>
      <c r="B169" s="19" t="s">
        <v>1503</v>
      </c>
      <c r="C169" s="19" t="str">
        <f t="shared" si="2"/>
        <v>Stella -</v>
      </c>
      <c r="D169" s="19" t="s">
        <v>1489</v>
      </c>
      <c r="E169" s="19" t="s">
        <v>2830</v>
      </c>
      <c r="F169" s="19" t="s">
        <v>4</v>
      </c>
      <c r="G169" s="19" t="s">
        <v>1503</v>
      </c>
      <c r="H169" s="19">
        <v>90880382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12.5">
      <c r="A170" s="19" t="s">
        <v>2831</v>
      </c>
      <c r="B170" s="19" t="s">
        <v>1503</v>
      </c>
      <c r="C170" s="19" t="str">
        <f t="shared" si="2"/>
        <v>Song -</v>
      </c>
      <c r="D170" s="19" t="s">
        <v>1489</v>
      </c>
      <c r="E170" s="19" t="s">
        <v>842</v>
      </c>
      <c r="F170" s="19" t="s">
        <v>4</v>
      </c>
      <c r="G170" s="19"/>
      <c r="H170" s="19">
        <v>96310805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23">
      <c r="A171" s="19" t="s">
        <v>4394</v>
      </c>
      <c r="B171" s="19" t="s">
        <v>4394</v>
      </c>
      <c r="C171" s="19" t="str">
        <f t="shared" si="2"/>
        <v xml:space="preserve"> </v>
      </c>
      <c r="D171" s="19" t="s">
        <v>1489</v>
      </c>
      <c r="E171" s="20" t="s">
        <v>2832</v>
      </c>
      <c r="F171" s="19" t="s">
        <v>4</v>
      </c>
      <c r="G171" s="19"/>
      <c r="H171" s="19" t="s">
        <v>1503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12.5">
      <c r="A172" s="19" t="s">
        <v>4394</v>
      </c>
      <c r="B172" s="19" t="s">
        <v>4394</v>
      </c>
      <c r="C172" s="19" t="str">
        <f t="shared" si="2"/>
        <v xml:space="preserve"> </v>
      </c>
      <c r="D172" s="19" t="s">
        <v>1489</v>
      </c>
      <c r="E172" s="20" t="s">
        <v>2833</v>
      </c>
      <c r="F172" s="19" t="s">
        <v>4</v>
      </c>
      <c r="G172" s="20" t="s">
        <v>2833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2.5">
      <c r="A173" s="19" t="s">
        <v>4394</v>
      </c>
      <c r="B173" s="19" t="s">
        <v>4394</v>
      </c>
      <c r="C173" s="19" t="str">
        <f t="shared" si="2"/>
        <v xml:space="preserve"> </v>
      </c>
      <c r="D173" s="19" t="s">
        <v>1489</v>
      </c>
      <c r="E173" s="19" t="s">
        <v>2834</v>
      </c>
      <c r="F173" s="19" t="s">
        <v>4</v>
      </c>
      <c r="G173" s="19" t="s">
        <v>2835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2.5">
      <c r="A174" s="19" t="s">
        <v>4394</v>
      </c>
      <c r="B174" s="19" t="s">
        <v>4394</v>
      </c>
      <c r="C174" s="19" t="str">
        <f t="shared" si="2"/>
        <v xml:space="preserve"> </v>
      </c>
      <c r="D174" s="19" t="s">
        <v>1489</v>
      </c>
      <c r="E174" s="19" t="s">
        <v>2836</v>
      </c>
      <c r="F174" s="19" t="s">
        <v>4</v>
      </c>
      <c r="G174" s="20" t="s">
        <v>2836</v>
      </c>
      <c r="H174" s="19" t="s">
        <v>1503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2.5">
      <c r="A175" s="19" t="s">
        <v>1130</v>
      </c>
      <c r="B175" s="19" t="s">
        <v>1503</v>
      </c>
      <c r="C175" s="19" t="str">
        <f t="shared" si="2"/>
        <v>Javier -</v>
      </c>
      <c r="D175" s="19" t="s">
        <v>1489</v>
      </c>
      <c r="E175" s="19" t="s">
        <v>2837</v>
      </c>
      <c r="F175" s="19" t="s">
        <v>4</v>
      </c>
      <c r="G175" s="19" t="s">
        <v>2776</v>
      </c>
      <c r="H175" s="19" t="s">
        <v>1503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2.5">
      <c r="A176" s="19" t="s">
        <v>2838</v>
      </c>
      <c r="B176" s="19" t="s">
        <v>4394</v>
      </c>
      <c r="C176" s="19" t="str">
        <f t="shared" si="2"/>
        <v xml:space="preserve">Chantal Wong </v>
      </c>
      <c r="D176" s="19" t="s">
        <v>1489</v>
      </c>
      <c r="E176" s="19" t="s">
        <v>2839</v>
      </c>
      <c r="F176" s="19" t="s">
        <v>4</v>
      </c>
      <c r="G176" s="20" t="s">
        <v>2840</v>
      </c>
      <c r="H176" s="19">
        <v>84362860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2.5">
      <c r="A177" s="19" t="s">
        <v>2841</v>
      </c>
      <c r="B177" s="19" t="s">
        <v>2842</v>
      </c>
      <c r="C177" s="19" t="str">
        <f t="shared" si="2"/>
        <v>Samuel Ow</v>
      </c>
      <c r="D177" s="19" t="s">
        <v>1489</v>
      </c>
      <c r="E177" s="19" t="s">
        <v>2843</v>
      </c>
      <c r="F177" s="19" t="s">
        <v>4</v>
      </c>
      <c r="G177" s="19" t="s">
        <v>2844</v>
      </c>
      <c r="H177" s="19">
        <v>97975719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2.5">
      <c r="A178" s="19" t="s">
        <v>4465</v>
      </c>
      <c r="B178" s="19" t="s">
        <v>1503</v>
      </c>
      <c r="C178" s="19" t="str">
        <f t="shared" si="2"/>
        <v>Yen -</v>
      </c>
      <c r="D178" s="19" t="s">
        <v>1489</v>
      </c>
      <c r="E178" s="19" t="s">
        <v>2845</v>
      </c>
      <c r="F178" s="19" t="s">
        <v>4</v>
      </c>
      <c r="G178" s="19" t="s">
        <v>2596</v>
      </c>
      <c r="H178" s="19">
        <v>96416466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2.5">
      <c r="A179" s="19" t="s">
        <v>2846</v>
      </c>
      <c r="B179" s="19" t="s">
        <v>1503</v>
      </c>
      <c r="C179" s="19" t="str">
        <f t="shared" si="2"/>
        <v>Jeff -</v>
      </c>
      <c r="D179" s="19" t="s">
        <v>1489</v>
      </c>
      <c r="E179" s="19" t="s">
        <v>2847</v>
      </c>
      <c r="F179" s="19" t="s">
        <v>4</v>
      </c>
      <c r="G179" s="19" t="s">
        <v>2812</v>
      </c>
      <c r="H179" s="19">
        <v>91990610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2.5">
      <c r="A180" s="19" t="s">
        <v>2848</v>
      </c>
      <c r="B180" s="19" t="s">
        <v>1503</v>
      </c>
      <c r="C180" s="19" t="str">
        <f t="shared" si="2"/>
        <v>Ella -</v>
      </c>
      <c r="D180" s="19" t="s">
        <v>1489</v>
      </c>
      <c r="E180" s="19" t="s">
        <v>2849</v>
      </c>
      <c r="F180" s="19" t="s">
        <v>4</v>
      </c>
      <c r="G180" s="19" t="s">
        <v>2850</v>
      </c>
      <c r="H180" s="19" t="s">
        <v>1503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2.5">
      <c r="A181" s="19" t="s">
        <v>764</v>
      </c>
      <c r="B181" s="19" t="s">
        <v>1503</v>
      </c>
      <c r="C181" s="19" t="str">
        <f t="shared" si="2"/>
        <v>Kim -</v>
      </c>
      <c r="D181" s="19" t="s">
        <v>1489</v>
      </c>
      <c r="E181" s="19" t="s">
        <v>842</v>
      </c>
      <c r="F181" s="19" t="s">
        <v>4</v>
      </c>
      <c r="G181" s="19" t="s">
        <v>2851</v>
      </c>
      <c r="H181" s="19" t="s">
        <v>1503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2.5">
      <c r="A182" s="19" t="s">
        <v>2852</v>
      </c>
      <c r="B182" s="19" t="s">
        <v>1503</v>
      </c>
      <c r="C182" s="19" t="str">
        <f t="shared" si="2"/>
        <v>Joel -</v>
      </c>
      <c r="D182" s="19" t="s">
        <v>1489</v>
      </c>
      <c r="E182" s="19" t="s">
        <v>2853</v>
      </c>
      <c r="F182" s="19" t="s">
        <v>4</v>
      </c>
      <c r="G182" s="19" t="s">
        <v>2854</v>
      </c>
      <c r="H182" s="19">
        <v>84286440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2.5">
      <c r="A183" s="19" t="s">
        <v>4494</v>
      </c>
      <c r="B183" s="19" t="s">
        <v>1503</v>
      </c>
      <c r="C183" s="19" t="str">
        <f t="shared" si="2"/>
        <v>Diana -</v>
      </c>
      <c r="D183" s="19" t="s">
        <v>1489</v>
      </c>
      <c r="E183" s="19" t="s">
        <v>2855</v>
      </c>
      <c r="F183" s="19" t="s">
        <v>4</v>
      </c>
      <c r="G183" s="19" t="s">
        <v>2856</v>
      </c>
      <c r="H183" s="19">
        <f>6594377915</f>
        <v>6594377915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2.5">
      <c r="A184" s="19" t="s">
        <v>2273</v>
      </c>
      <c r="B184" s="19" t="s">
        <v>1503</v>
      </c>
      <c r="C184" s="19" t="str">
        <f t="shared" si="2"/>
        <v>Clement -</v>
      </c>
      <c r="D184" s="19" t="s">
        <v>1489</v>
      </c>
      <c r="E184" s="19" t="s">
        <v>2857</v>
      </c>
      <c r="F184" s="19" t="s">
        <v>4</v>
      </c>
      <c r="G184" s="19" t="s">
        <v>2641</v>
      </c>
      <c r="H184" s="19" t="s">
        <v>1503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2.5">
      <c r="A185" s="19" t="s">
        <v>2858</v>
      </c>
      <c r="B185" s="19" t="s">
        <v>1503</v>
      </c>
      <c r="C185" s="19" t="str">
        <f t="shared" si="2"/>
        <v>Kas -</v>
      </c>
      <c r="D185" s="19" t="s">
        <v>1489</v>
      </c>
      <c r="E185" s="19" t="s">
        <v>2859</v>
      </c>
      <c r="F185" s="19" t="s">
        <v>4</v>
      </c>
      <c r="G185" s="19" t="s">
        <v>2860</v>
      </c>
      <c r="H185" s="19" t="s">
        <v>2861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23">
      <c r="A186" s="19" t="s">
        <v>2862</v>
      </c>
      <c r="B186" s="19" t="s">
        <v>1503</v>
      </c>
      <c r="C186" s="19" t="str">
        <f t="shared" si="2"/>
        <v>Mustafa -</v>
      </c>
      <c r="D186" s="19" t="s">
        <v>1489</v>
      </c>
      <c r="E186" s="19" t="s">
        <v>2863</v>
      </c>
      <c r="F186" s="19" t="s">
        <v>4</v>
      </c>
      <c r="G186" s="19" t="s">
        <v>2031</v>
      </c>
      <c r="H186" s="19" t="s">
        <v>1503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12.5">
      <c r="A187" s="19" t="s">
        <v>2864</v>
      </c>
      <c r="B187" s="19" t="s">
        <v>1503</v>
      </c>
      <c r="C187" s="19" t="str">
        <f t="shared" si="2"/>
        <v>Stein -</v>
      </c>
      <c r="D187" s="19" t="s">
        <v>1489</v>
      </c>
      <c r="E187" s="19" t="s">
        <v>2865</v>
      </c>
      <c r="F187" s="19" t="s">
        <v>4</v>
      </c>
      <c r="G187" s="19" t="s">
        <v>2866</v>
      </c>
      <c r="H187" s="19" t="s">
        <v>1503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2.5">
      <c r="A188" s="19" t="s">
        <v>2867</v>
      </c>
      <c r="B188" s="19" t="s">
        <v>2867</v>
      </c>
      <c r="C188" s="19" t="str">
        <f t="shared" si="2"/>
        <v>Albert Albert</v>
      </c>
      <c r="D188" s="19" t="s">
        <v>1489</v>
      </c>
      <c r="E188" s="19" t="s">
        <v>2868</v>
      </c>
      <c r="F188" s="19" t="s">
        <v>4</v>
      </c>
      <c r="G188" s="19" t="s">
        <v>2869</v>
      </c>
      <c r="H188" s="19">
        <v>96551411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2.5">
      <c r="A189" s="19" t="s">
        <v>2768</v>
      </c>
      <c r="B189" s="19" t="s">
        <v>2768</v>
      </c>
      <c r="C189" s="19" t="str">
        <f t="shared" si="2"/>
        <v>Deepthi Deepthi</v>
      </c>
      <c r="D189" s="19" t="s">
        <v>1489</v>
      </c>
      <c r="E189" s="19" t="s">
        <v>2870</v>
      </c>
      <c r="F189" s="19" t="s">
        <v>4</v>
      </c>
      <c r="G189" s="19" t="s">
        <v>2769</v>
      </c>
      <c r="H189" s="19">
        <v>87553929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2.5">
      <c r="A190" s="19" t="s">
        <v>2871</v>
      </c>
      <c r="B190" s="19" t="s">
        <v>2871</v>
      </c>
      <c r="C190" s="19" t="str">
        <f t="shared" si="2"/>
        <v>Dianna Dianna</v>
      </c>
      <c r="D190" s="19" t="s">
        <v>1489</v>
      </c>
      <c r="E190" s="19" t="s">
        <v>2872</v>
      </c>
      <c r="F190" s="19" t="s">
        <v>4</v>
      </c>
      <c r="G190" s="19" t="s">
        <v>2873</v>
      </c>
      <c r="H190" s="19">
        <v>96603989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2.5">
      <c r="A191" s="19" t="s">
        <v>2874</v>
      </c>
      <c r="B191" s="19" t="s">
        <v>2874</v>
      </c>
      <c r="C191" s="19" t="str">
        <f t="shared" si="2"/>
        <v>Rupert Rupert</v>
      </c>
      <c r="D191" s="19" t="s">
        <v>1489</v>
      </c>
      <c r="E191" s="19" t="s">
        <v>1503</v>
      </c>
      <c r="F191" s="19" t="s">
        <v>4</v>
      </c>
      <c r="G191" s="19" t="s">
        <v>2875</v>
      </c>
      <c r="H191" s="19">
        <v>98290241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2.5">
      <c r="A192" s="19" t="s">
        <v>2476</v>
      </c>
      <c r="B192" s="19" t="s">
        <v>2476</v>
      </c>
      <c r="C192" s="19" t="str">
        <f t="shared" si="2"/>
        <v>Liying Liying</v>
      </c>
      <c r="D192" s="19" t="s">
        <v>1489</v>
      </c>
      <c r="E192" s="19" t="s">
        <v>2876</v>
      </c>
      <c r="F192" s="19" t="s">
        <v>4</v>
      </c>
      <c r="G192" s="19" t="s">
        <v>2877</v>
      </c>
      <c r="H192" s="19">
        <v>97240128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23">
      <c r="A193" s="19" t="s">
        <v>2878</v>
      </c>
      <c r="B193" s="19" t="s">
        <v>2878</v>
      </c>
      <c r="C193" s="19" t="str">
        <f t="shared" si="2"/>
        <v>Melvin Ng Melvin Ng</v>
      </c>
      <c r="D193" s="19" t="s">
        <v>1489</v>
      </c>
      <c r="E193" s="19" t="s">
        <v>2879</v>
      </c>
      <c r="F193" s="19" t="s">
        <v>4</v>
      </c>
      <c r="G193" s="19" t="s">
        <v>2043</v>
      </c>
      <c r="H193" s="19">
        <v>91770316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12.5">
      <c r="A194" s="19" t="s">
        <v>2880</v>
      </c>
      <c r="B194" s="19" t="s">
        <v>2880</v>
      </c>
      <c r="C194" s="19" t="str">
        <f t="shared" si="2"/>
        <v>vert vert</v>
      </c>
      <c r="D194" s="19" t="s">
        <v>1489</v>
      </c>
      <c r="E194" s="19" t="s">
        <v>2881</v>
      </c>
      <c r="F194" s="19" t="s">
        <v>4</v>
      </c>
      <c r="G194" s="19" t="s">
        <v>2882</v>
      </c>
      <c r="H194" s="19">
        <v>82477784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2.5">
      <c r="A195" s="19" t="s">
        <v>2874</v>
      </c>
      <c r="B195" s="19" t="s">
        <v>2874</v>
      </c>
      <c r="C195" s="19" t="str">
        <f t="shared" ref="C195:C258" si="3">_xlfn.CONCAT(A195," ",B195)</f>
        <v>Rupert Rupert</v>
      </c>
      <c r="D195" s="19" t="s">
        <v>1489</v>
      </c>
      <c r="E195" s="19" t="s">
        <v>1503</v>
      </c>
      <c r="F195" s="19" t="s">
        <v>4</v>
      </c>
      <c r="G195" s="19" t="s">
        <v>2875</v>
      </c>
      <c r="H195" s="19">
        <v>98290241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2.5">
      <c r="A196" s="19" t="s">
        <v>2476</v>
      </c>
      <c r="B196" s="19" t="s">
        <v>2476</v>
      </c>
      <c r="C196" s="19" t="str">
        <f t="shared" si="3"/>
        <v>Liying Liying</v>
      </c>
      <c r="D196" s="19" t="s">
        <v>1489</v>
      </c>
      <c r="E196" s="19" t="s">
        <v>2876</v>
      </c>
      <c r="F196" s="19" t="s">
        <v>4</v>
      </c>
      <c r="G196" s="19" t="s">
        <v>2877</v>
      </c>
      <c r="H196" s="19">
        <v>97240128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23">
      <c r="A197" s="19" t="s">
        <v>2883</v>
      </c>
      <c r="B197" s="19" t="s">
        <v>2883</v>
      </c>
      <c r="C197" s="19" t="str">
        <f t="shared" si="3"/>
        <v>Alfrede Chong Alfrede Chong</v>
      </c>
      <c r="D197" s="19" t="s">
        <v>1489</v>
      </c>
      <c r="E197" s="19" t="s">
        <v>2884</v>
      </c>
      <c r="F197" s="19" t="s">
        <v>4</v>
      </c>
      <c r="G197" s="19" t="s">
        <v>2885</v>
      </c>
      <c r="H197" s="19">
        <v>98890988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12.5">
      <c r="A198" s="19" t="s">
        <v>2634</v>
      </c>
      <c r="B198" s="19" t="s">
        <v>2634</v>
      </c>
      <c r="C198" s="19" t="str">
        <f t="shared" si="3"/>
        <v>Vanz Vanz</v>
      </c>
      <c r="D198" s="19" t="s">
        <v>1489</v>
      </c>
      <c r="E198" s="19" t="s">
        <v>2635</v>
      </c>
      <c r="F198" s="19" t="s">
        <v>4</v>
      </c>
      <c r="G198" s="19" t="s">
        <v>2636</v>
      </c>
      <c r="H198" s="19">
        <v>91162052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2.5">
      <c r="A199" s="19" t="s">
        <v>2886</v>
      </c>
      <c r="B199" s="19" t="s">
        <v>2886</v>
      </c>
      <c r="C199" s="19" t="str">
        <f t="shared" si="3"/>
        <v>Hashim Hashim</v>
      </c>
      <c r="D199" s="19" t="s">
        <v>1489</v>
      </c>
      <c r="E199" s="19" t="s">
        <v>2887</v>
      </c>
      <c r="F199" s="19" t="s">
        <v>4</v>
      </c>
      <c r="G199" s="19" t="s">
        <v>2888</v>
      </c>
      <c r="H199" s="19">
        <v>97353783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2.5">
      <c r="A200" s="19" t="s">
        <v>1360</v>
      </c>
      <c r="B200" s="19" t="s">
        <v>1360</v>
      </c>
      <c r="C200" s="19" t="str">
        <f t="shared" si="3"/>
        <v>Ali Ali</v>
      </c>
      <c r="D200" s="19" t="s">
        <v>1489</v>
      </c>
      <c r="E200" s="19" t="s">
        <v>2889</v>
      </c>
      <c r="F200" s="19" t="s">
        <v>4</v>
      </c>
      <c r="G200" s="19" t="s">
        <v>2590</v>
      </c>
      <c r="H200" s="19">
        <v>90019960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2.5">
      <c r="A201" s="19" t="s">
        <v>2890</v>
      </c>
      <c r="B201" s="19" t="s">
        <v>2890</v>
      </c>
      <c r="C201" s="19" t="str">
        <f t="shared" si="3"/>
        <v>Xueli Xueli</v>
      </c>
      <c r="D201" s="19" t="s">
        <v>1489</v>
      </c>
      <c r="E201" s="19" t="s">
        <v>2891</v>
      </c>
      <c r="F201" s="19" t="s">
        <v>4</v>
      </c>
      <c r="G201" s="19" t="s">
        <v>2892</v>
      </c>
      <c r="H201" s="19">
        <v>97952819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23">
      <c r="A202" s="19" t="s">
        <v>2893</v>
      </c>
      <c r="B202" s="19" t="s">
        <v>2893</v>
      </c>
      <c r="C202" s="19" t="str">
        <f t="shared" si="3"/>
        <v>Jack Phua Jack Phua</v>
      </c>
      <c r="D202" s="19" t="s">
        <v>1489</v>
      </c>
      <c r="E202" s="19" t="s">
        <v>2894</v>
      </c>
      <c r="F202" s="19" t="s">
        <v>4</v>
      </c>
      <c r="G202" s="19" t="s">
        <v>2895</v>
      </c>
      <c r="H202" s="19">
        <v>98556862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12.5">
      <c r="A203" s="19" t="s">
        <v>2896</v>
      </c>
      <c r="B203" s="19" t="s">
        <v>2896</v>
      </c>
      <c r="C203" s="19" t="str">
        <f t="shared" si="3"/>
        <v>Francis Francis</v>
      </c>
      <c r="D203" s="19" t="s">
        <v>1489</v>
      </c>
      <c r="E203" s="19" t="s">
        <v>2897</v>
      </c>
      <c r="F203" s="19" t="s">
        <v>4</v>
      </c>
      <c r="G203" s="19" t="s">
        <v>2898</v>
      </c>
      <c r="H203" s="19">
        <v>96210057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2.5">
      <c r="A204" s="19" t="s">
        <v>2871</v>
      </c>
      <c r="B204" s="19" t="s">
        <v>2871</v>
      </c>
      <c r="C204" s="19" t="str">
        <f t="shared" si="3"/>
        <v>Dianna Dianna</v>
      </c>
      <c r="D204" s="19" t="s">
        <v>1489</v>
      </c>
      <c r="E204" s="19" t="s">
        <v>2872</v>
      </c>
      <c r="F204" s="19" t="s">
        <v>4</v>
      </c>
      <c r="G204" s="19" t="s">
        <v>2873</v>
      </c>
      <c r="H204" s="19">
        <v>96603989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2.5">
      <c r="A205" s="19" t="s">
        <v>2899</v>
      </c>
      <c r="B205" s="19" t="s">
        <v>2899</v>
      </c>
      <c r="C205" s="19" t="str">
        <f t="shared" si="3"/>
        <v>Marcus Marcus</v>
      </c>
      <c r="D205" s="19" t="s">
        <v>1489</v>
      </c>
      <c r="E205" s="19" t="s">
        <v>2900</v>
      </c>
      <c r="F205" s="19" t="s">
        <v>4</v>
      </c>
      <c r="G205" s="19" t="s">
        <v>2901</v>
      </c>
      <c r="H205" s="19">
        <v>94510236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23">
      <c r="A206" s="19" t="s">
        <v>2902</v>
      </c>
      <c r="B206" s="19" t="s">
        <v>2902</v>
      </c>
      <c r="C206" s="19" t="str">
        <f t="shared" si="3"/>
        <v>Jezyl Jezyl</v>
      </c>
      <c r="D206" s="19" t="s">
        <v>1489</v>
      </c>
      <c r="E206" s="19" t="s">
        <v>2903</v>
      </c>
      <c r="F206" s="19" t="s">
        <v>4</v>
      </c>
      <c r="G206" s="19" t="s">
        <v>2901</v>
      </c>
      <c r="H206" s="19">
        <v>90797999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23">
      <c r="A207" s="19" t="s">
        <v>2904</v>
      </c>
      <c r="B207" s="19" t="s">
        <v>2904</v>
      </c>
      <c r="C207" s="19" t="str">
        <f t="shared" si="3"/>
        <v>Kristabel Kristabel</v>
      </c>
      <c r="D207" s="19" t="s">
        <v>1489</v>
      </c>
      <c r="E207" s="19" t="s">
        <v>2689</v>
      </c>
      <c r="F207" s="19" t="s">
        <v>4</v>
      </c>
      <c r="G207" s="19" t="s">
        <v>2905</v>
      </c>
      <c r="H207" s="19">
        <v>81217186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23">
      <c r="A208" s="19" t="s">
        <v>2906</v>
      </c>
      <c r="B208" s="19" t="s">
        <v>2906</v>
      </c>
      <c r="C208" s="19" t="str">
        <f t="shared" si="3"/>
        <v>Paul Teo Paul Teo</v>
      </c>
      <c r="D208" s="19" t="s">
        <v>1489</v>
      </c>
      <c r="E208" s="19" t="s">
        <v>2907</v>
      </c>
      <c r="F208" s="19" t="s">
        <v>4</v>
      </c>
      <c r="G208" s="19" t="s">
        <v>2908</v>
      </c>
      <c r="H208" s="19">
        <v>97669483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23">
      <c r="A209" s="19" t="s">
        <v>2909</v>
      </c>
      <c r="B209" s="19" t="s">
        <v>2909</v>
      </c>
      <c r="C209" s="19" t="str">
        <f t="shared" si="3"/>
        <v>Hongkyu Hongkyu</v>
      </c>
      <c r="D209" s="19" t="s">
        <v>1489</v>
      </c>
      <c r="E209" s="19" t="s">
        <v>2910</v>
      </c>
      <c r="F209" s="19" t="s">
        <v>4</v>
      </c>
      <c r="G209" s="19" t="s">
        <v>2911</v>
      </c>
      <c r="H209" s="19">
        <v>98651452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23">
      <c r="A210" s="19" t="s">
        <v>352</v>
      </c>
      <c r="B210" s="19" t="s">
        <v>352</v>
      </c>
      <c r="C210" s="19" t="str">
        <f t="shared" si="3"/>
        <v>LIM LIM</v>
      </c>
      <c r="D210" s="19" t="s">
        <v>1489</v>
      </c>
      <c r="E210" s="19" t="s">
        <v>2912</v>
      </c>
      <c r="F210" s="19" t="s">
        <v>4</v>
      </c>
      <c r="G210" s="19" t="s">
        <v>2045</v>
      </c>
      <c r="H210" s="19">
        <v>83398649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23">
      <c r="A211" s="19" t="s">
        <v>2913</v>
      </c>
      <c r="B211" s="19" t="s">
        <v>2913</v>
      </c>
      <c r="C211" s="19" t="str">
        <f t="shared" si="3"/>
        <v>Kent Wee Kent Wee</v>
      </c>
      <c r="D211" s="19" t="s">
        <v>1489</v>
      </c>
      <c r="E211" s="19" t="s">
        <v>2914</v>
      </c>
      <c r="F211" s="19" t="s">
        <v>4</v>
      </c>
      <c r="G211" s="19" t="s">
        <v>2915</v>
      </c>
      <c r="H211" s="19">
        <v>91841257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23">
      <c r="A212" s="19" t="s">
        <v>2906</v>
      </c>
      <c r="B212" s="19" t="s">
        <v>2906</v>
      </c>
      <c r="C212" s="19" t="str">
        <f t="shared" si="3"/>
        <v>Paul Teo Paul Teo</v>
      </c>
      <c r="D212" s="19" t="s">
        <v>1489</v>
      </c>
      <c r="E212" s="19" t="s">
        <v>2907</v>
      </c>
      <c r="F212" s="19" t="s">
        <v>4</v>
      </c>
      <c r="G212" s="19" t="s">
        <v>2908</v>
      </c>
      <c r="H212" s="19">
        <v>97669483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23">
      <c r="A213" s="19" t="s">
        <v>2916</v>
      </c>
      <c r="B213" s="19" t="s">
        <v>2916</v>
      </c>
      <c r="C213" s="19" t="str">
        <f t="shared" si="3"/>
        <v>Lim Kok How Lim Kok How</v>
      </c>
      <c r="D213" s="19" t="s">
        <v>1489</v>
      </c>
      <c r="E213" s="19" t="s">
        <v>2917</v>
      </c>
      <c r="F213" s="19" t="s">
        <v>4</v>
      </c>
      <c r="G213" s="19" t="s">
        <v>2918</v>
      </c>
      <c r="H213" s="19">
        <v>91526622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12.5">
      <c r="A214" s="19" t="s">
        <v>2919</v>
      </c>
      <c r="B214" s="19" t="s">
        <v>2919</v>
      </c>
      <c r="C214" s="19" t="str">
        <f t="shared" si="3"/>
        <v>Tiane Tiane</v>
      </c>
      <c r="D214" s="19" t="s">
        <v>1489</v>
      </c>
      <c r="E214" s="19" t="s">
        <v>2920</v>
      </c>
      <c r="F214" s="19" t="s">
        <v>4</v>
      </c>
      <c r="G214" s="19" t="s">
        <v>2921</v>
      </c>
      <c r="H214" s="19">
        <v>96359000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23">
      <c r="A215" s="19" t="s">
        <v>4650</v>
      </c>
      <c r="B215" s="19" t="s">
        <v>473</v>
      </c>
      <c r="C215" s="19" t="str">
        <f t="shared" si="3"/>
        <v>Wiki Chua</v>
      </c>
      <c r="D215" s="19" t="s">
        <v>1489</v>
      </c>
      <c r="E215" s="19" t="s">
        <v>2922</v>
      </c>
      <c r="F215" s="19" t="s">
        <v>4</v>
      </c>
      <c r="G215" s="19" t="s">
        <v>2923</v>
      </c>
      <c r="H215" s="19">
        <v>96261913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12.5">
      <c r="A216" s="19" t="s">
        <v>831</v>
      </c>
      <c r="B216" s="19" t="s">
        <v>1503</v>
      </c>
      <c r="C216" s="19" t="str">
        <f t="shared" si="3"/>
        <v>Lynn -</v>
      </c>
      <c r="D216" s="19" t="s">
        <v>1489</v>
      </c>
      <c r="E216" s="19" t="s">
        <v>2924</v>
      </c>
      <c r="F216" s="19" t="s">
        <v>4</v>
      </c>
      <c r="G216" s="19" t="s">
        <v>2925</v>
      </c>
      <c r="H216" s="19">
        <v>84180038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2.5">
      <c r="A217" s="19" t="s">
        <v>2926</v>
      </c>
      <c r="B217" s="19" t="s">
        <v>1503</v>
      </c>
      <c r="C217" s="19" t="str">
        <f t="shared" si="3"/>
        <v>Neelendra -</v>
      </c>
      <c r="D217" s="19" t="s">
        <v>1489</v>
      </c>
      <c r="E217" s="19" t="s">
        <v>2927</v>
      </c>
      <c r="F217" s="19" t="s">
        <v>4</v>
      </c>
      <c r="G217" s="19" t="s">
        <v>2928</v>
      </c>
      <c r="H217" s="19">
        <v>81259701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23">
      <c r="A218" s="19" t="s">
        <v>2929</v>
      </c>
      <c r="B218" s="19" t="s">
        <v>1503</v>
      </c>
      <c r="C218" s="19" t="str">
        <f t="shared" si="3"/>
        <v>Prisca -</v>
      </c>
      <c r="D218" s="19" t="s">
        <v>1489</v>
      </c>
      <c r="E218" s="19" t="s">
        <v>2930</v>
      </c>
      <c r="F218" s="19" t="s">
        <v>4</v>
      </c>
      <c r="G218" s="19" t="s">
        <v>2931</v>
      </c>
      <c r="H218" s="19" t="s">
        <v>2932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12.5">
      <c r="A219" s="19" t="s">
        <v>499</v>
      </c>
      <c r="B219" s="19" t="s">
        <v>1503</v>
      </c>
      <c r="C219" s="19" t="str">
        <f t="shared" si="3"/>
        <v>Adrian -</v>
      </c>
      <c r="D219" s="19" t="s">
        <v>1489</v>
      </c>
      <c r="E219" s="19" t="s">
        <v>2792</v>
      </c>
      <c r="F219" s="19" t="s">
        <v>4</v>
      </c>
      <c r="G219" s="20" t="s">
        <v>2933</v>
      </c>
      <c r="H219" s="19" t="s">
        <v>2934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69.5">
      <c r="A220" s="19" t="s">
        <v>4651</v>
      </c>
      <c r="B220" s="19" t="s">
        <v>1503</v>
      </c>
      <c r="C220" s="19" t="str">
        <f t="shared" si="3"/>
        <v>Terance -</v>
      </c>
      <c r="D220" s="19" t="s">
        <v>1489</v>
      </c>
      <c r="E220" s="19" t="s">
        <v>2935</v>
      </c>
      <c r="F220" s="19" t="s">
        <v>4</v>
      </c>
      <c r="G220" s="20" t="s">
        <v>2936</v>
      </c>
      <c r="H220" s="19" t="s">
        <v>2937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69">
      <c r="A221" s="19" t="s">
        <v>4652</v>
      </c>
      <c r="B221" s="19" t="s">
        <v>1503</v>
      </c>
      <c r="C221" s="19" t="str">
        <f t="shared" si="3"/>
        <v>Ken -</v>
      </c>
      <c r="D221" s="19" t="s">
        <v>1489</v>
      </c>
      <c r="E221" s="19" t="s">
        <v>2938</v>
      </c>
      <c r="F221" s="19" t="s">
        <v>4</v>
      </c>
      <c r="G221" s="19" t="s">
        <v>2938</v>
      </c>
      <c r="H221" s="19" t="s">
        <v>2938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12.5">
      <c r="A222" s="19" t="s">
        <v>1530</v>
      </c>
      <c r="B222" s="19" t="s">
        <v>1503</v>
      </c>
      <c r="C222" s="19" t="str">
        <f t="shared" si="3"/>
        <v>Adam -</v>
      </c>
      <c r="D222" s="19" t="s">
        <v>1489</v>
      </c>
      <c r="E222" s="19" t="s">
        <v>2792</v>
      </c>
      <c r="F222" s="19" t="s">
        <v>4</v>
      </c>
      <c r="G222" s="19" t="s">
        <v>2812</v>
      </c>
      <c r="H222" s="19">
        <v>97902735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57.5">
      <c r="A223" s="19" t="s">
        <v>2476</v>
      </c>
      <c r="B223" s="19" t="s">
        <v>1503</v>
      </c>
      <c r="C223" s="19" t="str">
        <f t="shared" si="3"/>
        <v>Liying -</v>
      </c>
      <c r="D223" s="19" t="s">
        <v>1489</v>
      </c>
      <c r="E223" s="19" t="s">
        <v>2477</v>
      </c>
      <c r="F223" s="19" t="s">
        <v>4</v>
      </c>
      <c r="G223" s="19" t="s">
        <v>2939</v>
      </c>
      <c r="H223" s="19" t="s">
        <v>2939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12.5">
      <c r="A224" s="19" t="s">
        <v>4653</v>
      </c>
      <c r="B224" s="19" t="s">
        <v>1503</v>
      </c>
      <c r="C224" s="19" t="str">
        <f t="shared" si="3"/>
        <v>Faye -</v>
      </c>
      <c r="D224" s="19" t="s">
        <v>1489</v>
      </c>
      <c r="E224" s="19" t="s">
        <v>2940</v>
      </c>
      <c r="F224" s="19" t="s">
        <v>4</v>
      </c>
      <c r="G224" s="19" t="s">
        <v>2941</v>
      </c>
      <c r="H224" s="19">
        <v>92303052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2.5">
      <c r="A225" s="19" t="s">
        <v>2871</v>
      </c>
      <c r="B225" s="19" t="s">
        <v>1503</v>
      </c>
      <c r="C225" s="19" t="str">
        <f t="shared" si="3"/>
        <v>Dianna -</v>
      </c>
      <c r="D225" s="19" t="s">
        <v>1489</v>
      </c>
      <c r="E225" s="19" t="s">
        <v>2872</v>
      </c>
      <c r="F225" s="19" t="s">
        <v>4</v>
      </c>
      <c r="G225" s="19" t="s">
        <v>2812</v>
      </c>
      <c r="H225" s="19">
        <v>96603989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2.5">
      <c r="A226" s="19" t="s">
        <v>2942</v>
      </c>
      <c r="B226" s="19" t="s">
        <v>1503</v>
      </c>
      <c r="C226" s="19" t="str">
        <f t="shared" si="3"/>
        <v>Ichigo -</v>
      </c>
      <c r="D226" s="19" t="s">
        <v>1489</v>
      </c>
      <c r="E226" s="19" t="s">
        <v>2943</v>
      </c>
      <c r="F226" s="19" t="s">
        <v>4</v>
      </c>
      <c r="G226" s="19" t="s">
        <v>2812</v>
      </c>
      <c r="H226" s="19" t="s">
        <v>1503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23">
      <c r="A227" s="19" t="s">
        <v>2944</v>
      </c>
      <c r="B227" s="19" t="s">
        <v>1503</v>
      </c>
      <c r="C227" s="19" t="str">
        <f t="shared" si="3"/>
        <v>Lincoln -</v>
      </c>
      <c r="D227" s="19" t="s">
        <v>1489</v>
      </c>
      <c r="E227" s="19" t="s">
        <v>2945</v>
      </c>
      <c r="F227" s="19" t="s">
        <v>4</v>
      </c>
      <c r="G227" s="19" t="s">
        <v>2946</v>
      </c>
      <c r="H227" s="19">
        <v>98507677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12.5">
      <c r="A228" s="19" t="s">
        <v>2463</v>
      </c>
      <c r="B228" s="19" t="s">
        <v>1503</v>
      </c>
      <c r="C228" s="19" t="str">
        <f t="shared" si="3"/>
        <v>Jasmine -</v>
      </c>
      <c r="D228" s="19" t="s">
        <v>1489</v>
      </c>
      <c r="E228" s="19" t="s">
        <v>2947</v>
      </c>
      <c r="F228" s="19" t="s">
        <v>4</v>
      </c>
      <c r="G228" s="19" t="s">
        <v>2465</v>
      </c>
      <c r="H228" s="19">
        <v>90925013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2.5">
      <c r="A229" s="19" t="s">
        <v>629</v>
      </c>
      <c r="B229" s="19" t="s">
        <v>1503</v>
      </c>
      <c r="C229" s="19" t="str">
        <f t="shared" si="3"/>
        <v>Patrick -</v>
      </c>
      <c r="D229" s="19" t="s">
        <v>1489</v>
      </c>
      <c r="E229" s="19" t="s">
        <v>2645</v>
      </c>
      <c r="F229" s="19" t="s">
        <v>4</v>
      </c>
      <c r="G229" s="19" t="s">
        <v>2646</v>
      </c>
      <c r="H229" s="19">
        <v>83679691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2.5">
      <c r="A230" s="19" t="s">
        <v>4654</v>
      </c>
      <c r="B230" s="19" t="s">
        <v>1503</v>
      </c>
      <c r="C230" s="19" t="str">
        <f t="shared" si="3"/>
        <v>Roy -</v>
      </c>
      <c r="D230" s="19" t="s">
        <v>1489</v>
      </c>
      <c r="E230" s="19" t="s">
        <v>2948</v>
      </c>
      <c r="F230" s="19" t="s">
        <v>4</v>
      </c>
      <c r="G230" s="19" t="s">
        <v>2949</v>
      </c>
      <c r="H230" s="19" t="s">
        <v>842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2.5">
      <c r="A231" s="19" t="s">
        <v>4655</v>
      </c>
      <c r="B231" s="19" t="s">
        <v>1503</v>
      </c>
      <c r="C231" s="19" t="str">
        <f t="shared" si="3"/>
        <v>Deah Chien -</v>
      </c>
      <c r="D231" s="19" t="s">
        <v>1489</v>
      </c>
      <c r="E231" s="19" t="s">
        <v>2950</v>
      </c>
      <c r="F231" s="19" t="s">
        <v>4</v>
      </c>
      <c r="G231" s="19" t="s">
        <v>2951</v>
      </c>
      <c r="H231" s="19">
        <v>91166870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2.5">
      <c r="A232" s="19" t="s">
        <v>4394</v>
      </c>
      <c r="B232" s="19" t="s">
        <v>4394</v>
      </c>
      <c r="C232" s="19" t="str">
        <f t="shared" si="3"/>
        <v xml:space="preserve"> </v>
      </c>
      <c r="D232" s="19" t="s">
        <v>1489</v>
      </c>
      <c r="E232" s="19" t="s">
        <v>2952</v>
      </c>
      <c r="F232" s="19" t="s">
        <v>4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23">
      <c r="A233" s="19" t="s">
        <v>2953</v>
      </c>
      <c r="B233" s="19" t="s">
        <v>1503</v>
      </c>
      <c r="C233" s="19" t="str">
        <f t="shared" si="3"/>
        <v>Aileen -</v>
      </c>
      <c r="D233" s="19" t="s">
        <v>1489</v>
      </c>
      <c r="E233" s="19" t="s">
        <v>2954</v>
      </c>
      <c r="F233" s="19" t="s">
        <v>4</v>
      </c>
      <c r="G233" s="19" t="s">
        <v>2812</v>
      </c>
      <c r="H233" s="19">
        <v>98782152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ht="12.5">
      <c r="A234" s="19" t="s">
        <v>4656</v>
      </c>
      <c r="B234" s="19" t="s">
        <v>576</v>
      </c>
      <c r="C234" s="19" t="str">
        <f t="shared" si="3"/>
        <v>Stanley Yap</v>
      </c>
      <c r="D234" s="19" t="s">
        <v>1489</v>
      </c>
      <c r="E234" s="19" t="s">
        <v>2955</v>
      </c>
      <c r="F234" s="19" t="s">
        <v>4</v>
      </c>
      <c r="G234" s="20" t="s">
        <v>2956</v>
      </c>
      <c r="H234" s="19">
        <v>68306169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ht="12.5">
      <c r="A235" s="19" t="s">
        <v>4657</v>
      </c>
      <c r="B235" s="19" t="s">
        <v>1503</v>
      </c>
      <c r="C235" s="19" t="str">
        <f t="shared" si="3"/>
        <v>Vert -</v>
      </c>
      <c r="D235" s="19" t="s">
        <v>1489</v>
      </c>
      <c r="E235" s="19" t="s">
        <v>2957</v>
      </c>
      <c r="F235" s="19" t="s">
        <v>4</v>
      </c>
      <c r="G235" s="19" t="s">
        <v>2882</v>
      </c>
      <c r="H235" s="19">
        <v>82477784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ht="12.5">
      <c r="A236" s="19" t="s">
        <v>2958</v>
      </c>
      <c r="B236" s="19" t="s">
        <v>1503</v>
      </c>
      <c r="C236" s="19" t="str">
        <f t="shared" si="3"/>
        <v>Locus -</v>
      </c>
      <c r="D236" s="19" t="s">
        <v>1489</v>
      </c>
      <c r="E236" s="19" t="s">
        <v>2959</v>
      </c>
      <c r="F236" s="19" t="s">
        <v>4</v>
      </c>
      <c r="G236" s="19" t="s">
        <v>2959</v>
      </c>
      <c r="H236" s="19" t="s">
        <v>842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ht="12.5">
      <c r="A237" s="19" t="s">
        <v>2960</v>
      </c>
      <c r="B237" s="19" t="s">
        <v>1503</v>
      </c>
      <c r="C237" s="19" t="str">
        <f t="shared" si="3"/>
        <v>Ohuong -</v>
      </c>
      <c r="D237" s="19" t="s">
        <v>1489</v>
      </c>
      <c r="E237" s="19" t="s">
        <v>2961</v>
      </c>
      <c r="F237" s="19" t="s">
        <v>4</v>
      </c>
      <c r="G237" s="19" t="s">
        <v>2962</v>
      </c>
      <c r="H237" s="19">
        <v>90920797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ht="12.5">
      <c r="A238" s="19" t="s">
        <v>2963</v>
      </c>
      <c r="B238" s="19" t="s">
        <v>1503</v>
      </c>
      <c r="C238" s="19" t="str">
        <f t="shared" si="3"/>
        <v>Nisha -</v>
      </c>
      <c r="D238" s="19" t="s">
        <v>1489</v>
      </c>
      <c r="E238" s="19" t="s">
        <v>2964</v>
      </c>
      <c r="F238" s="19" t="s">
        <v>4</v>
      </c>
      <c r="G238" s="19" t="s">
        <v>2965</v>
      </c>
      <c r="H238" s="19" t="s">
        <v>842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ht="12.5">
      <c r="A239" s="19" t="s">
        <v>697</v>
      </c>
      <c r="B239" s="19" t="s">
        <v>1503</v>
      </c>
      <c r="C239" s="19" t="str">
        <f t="shared" si="3"/>
        <v>Leo -</v>
      </c>
      <c r="D239" s="19" t="s">
        <v>1489</v>
      </c>
      <c r="E239" s="19" t="s">
        <v>2966</v>
      </c>
      <c r="F239" s="19" t="s">
        <v>4</v>
      </c>
      <c r="G239" s="19" t="s">
        <v>2967</v>
      </c>
      <c r="H239" s="19">
        <v>81688619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ht="23">
      <c r="A240" s="19" t="s">
        <v>4562</v>
      </c>
      <c r="B240" s="19" t="s">
        <v>4771</v>
      </c>
      <c r="C240" s="19" t="str">
        <f t="shared" si="3"/>
        <v>Alvin Sivam</v>
      </c>
      <c r="D240" s="19" t="s">
        <v>1489</v>
      </c>
      <c r="E240" s="19" t="s">
        <v>2968</v>
      </c>
      <c r="F240" s="19" t="s">
        <v>4</v>
      </c>
      <c r="G240" s="19" t="s">
        <v>2969</v>
      </c>
      <c r="H240" s="19">
        <v>83525999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ht="12.5">
      <c r="A241" s="19" t="s">
        <v>4658</v>
      </c>
      <c r="B241" s="19" t="s">
        <v>2970</v>
      </c>
      <c r="C241" s="19" t="str">
        <f t="shared" si="3"/>
        <v>Harish Menon</v>
      </c>
      <c r="D241" s="19" t="s">
        <v>1489</v>
      </c>
      <c r="E241" s="19" t="s">
        <v>2971</v>
      </c>
      <c r="F241" s="19" t="s">
        <v>4</v>
      </c>
      <c r="G241" s="19" t="s">
        <v>2972</v>
      </c>
      <c r="H241" s="19">
        <v>92310472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ht="12.5">
      <c r="A242" s="19" t="s">
        <v>4659</v>
      </c>
      <c r="B242" s="19" t="s">
        <v>2624</v>
      </c>
      <c r="C242" s="19" t="str">
        <f t="shared" si="3"/>
        <v>Iris Seng</v>
      </c>
      <c r="D242" s="19" t="s">
        <v>1489</v>
      </c>
      <c r="E242" s="19" t="s">
        <v>2973</v>
      </c>
      <c r="F242" s="19" t="s">
        <v>4</v>
      </c>
      <c r="G242" s="19" t="s">
        <v>2974</v>
      </c>
      <c r="H242" s="19">
        <v>98504331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ht="12.5">
      <c r="A243" s="19" t="s">
        <v>613</v>
      </c>
      <c r="B243" s="19" t="s">
        <v>1503</v>
      </c>
      <c r="C243" s="19" t="str">
        <f t="shared" si="3"/>
        <v>Raymond -</v>
      </c>
      <c r="D243" s="19" t="s">
        <v>1489</v>
      </c>
      <c r="E243" s="19" t="s">
        <v>2975</v>
      </c>
      <c r="F243" s="19" t="s">
        <v>4</v>
      </c>
      <c r="G243" s="19" t="s">
        <v>2976</v>
      </c>
      <c r="H243" s="19">
        <v>97333276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ht="12.5">
      <c r="A244" s="19" t="s">
        <v>2977</v>
      </c>
      <c r="B244" s="19" t="s">
        <v>1503</v>
      </c>
      <c r="C244" s="19" t="str">
        <f t="shared" si="3"/>
        <v>Pushpinder -</v>
      </c>
      <c r="D244" s="19" t="s">
        <v>1489</v>
      </c>
      <c r="E244" s="19" t="s">
        <v>2978</v>
      </c>
      <c r="F244" s="19" t="s">
        <v>4</v>
      </c>
      <c r="G244" s="19" t="s">
        <v>2979</v>
      </c>
      <c r="H244" s="19" t="s">
        <v>1503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ht="12.5">
      <c r="A245" s="19" t="s">
        <v>4660</v>
      </c>
      <c r="B245" s="19" t="s">
        <v>1503</v>
      </c>
      <c r="C245" s="19" t="str">
        <f t="shared" si="3"/>
        <v>Farisha -</v>
      </c>
      <c r="D245" s="19" t="s">
        <v>1489</v>
      </c>
      <c r="E245" s="19" t="s">
        <v>2924</v>
      </c>
      <c r="F245" s="19" t="s">
        <v>4</v>
      </c>
      <c r="G245" s="19" t="s">
        <v>2980</v>
      </c>
      <c r="H245" s="19" t="s">
        <v>1503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ht="12.5">
      <c r="A246" s="19" t="s">
        <v>4661</v>
      </c>
      <c r="B246" s="19" t="s">
        <v>4687</v>
      </c>
      <c r="C246" s="19" t="str">
        <f t="shared" si="3"/>
        <v>Mian Jia</v>
      </c>
      <c r="D246" s="19" t="s">
        <v>1489</v>
      </c>
      <c r="E246" s="19" t="s">
        <v>2981</v>
      </c>
      <c r="F246" s="19" t="s">
        <v>4</v>
      </c>
      <c r="G246" s="19" t="s">
        <v>2982</v>
      </c>
      <c r="H246" s="19" t="s">
        <v>2983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ht="12.5">
      <c r="A247" s="19" t="s">
        <v>2984</v>
      </c>
      <c r="B247" s="19" t="s">
        <v>1503</v>
      </c>
      <c r="C247" s="19" t="str">
        <f t="shared" si="3"/>
        <v>Weili -</v>
      </c>
      <c r="D247" s="19" t="s">
        <v>1489</v>
      </c>
      <c r="E247" s="19" t="s">
        <v>2985</v>
      </c>
      <c r="F247" s="19" t="s">
        <v>4</v>
      </c>
      <c r="G247" s="19" t="s">
        <v>1916</v>
      </c>
      <c r="H247" s="19">
        <v>94244567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ht="12.5">
      <c r="A248" s="19" t="s">
        <v>493</v>
      </c>
      <c r="B248" s="19" t="s">
        <v>372</v>
      </c>
      <c r="C248" s="19" t="str">
        <f t="shared" si="3"/>
        <v>Felix Tan</v>
      </c>
      <c r="D248" s="19" t="s">
        <v>1489</v>
      </c>
      <c r="E248" s="19" t="s">
        <v>2986</v>
      </c>
      <c r="F248" s="19" t="s">
        <v>4</v>
      </c>
      <c r="G248" s="19" t="s">
        <v>584</v>
      </c>
      <c r="H248" s="19">
        <v>90995265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ht="12.5">
      <c r="A249" s="19" t="s">
        <v>2953</v>
      </c>
      <c r="B249" s="19" t="s">
        <v>1503</v>
      </c>
      <c r="C249" s="19" t="str">
        <f t="shared" si="3"/>
        <v>Aileen -</v>
      </c>
      <c r="D249" s="19" t="s">
        <v>1489</v>
      </c>
      <c r="E249" s="19" t="s">
        <v>2987</v>
      </c>
      <c r="F249" s="19" t="s">
        <v>4</v>
      </c>
      <c r="G249" s="19" t="s">
        <v>2987</v>
      </c>
      <c r="H249" s="19">
        <v>98782152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ht="12.5">
      <c r="A250" s="19" t="s">
        <v>2988</v>
      </c>
      <c r="B250" s="19" t="s">
        <v>1503</v>
      </c>
      <c r="C250" s="19" t="str">
        <f t="shared" si="3"/>
        <v>CS -</v>
      </c>
      <c r="D250" s="19" t="s">
        <v>1489</v>
      </c>
      <c r="E250" s="19" t="s">
        <v>2989</v>
      </c>
      <c r="F250" s="19" t="s">
        <v>4</v>
      </c>
      <c r="G250" s="19" t="s">
        <v>2990</v>
      </c>
      <c r="H250" s="19">
        <v>93844334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ht="12.5">
      <c r="A251" s="19" t="s">
        <v>4662</v>
      </c>
      <c r="B251" s="19" t="s">
        <v>1503</v>
      </c>
      <c r="C251" s="19" t="str">
        <f t="shared" si="3"/>
        <v>Beiyi -</v>
      </c>
      <c r="D251" s="19" t="s">
        <v>1489</v>
      </c>
      <c r="E251" s="19" t="s">
        <v>2991</v>
      </c>
      <c r="F251" s="19" t="s">
        <v>4</v>
      </c>
      <c r="G251" s="19" t="s">
        <v>2992</v>
      </c>
      <c r="H251" s="19">
        <v>81137056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ht="12.5">
      <c r="A252" s="19" t="s">
        <v>2963</v>
      </c>
      <c r="B252" s="19" t="s">
        <v>1503</v>
      </c>
      <c r="C252" s="19" t="str">
        <f t="shared" si="3"/>
        <v>Nisha -</v>
      </c>
      <c r="D252" s="19" t="s">
        <v>1489</v>
      </c>
      <c r="E252" s="19" t="s">
        <v>2993</v>
      </c>
      <c r="F252" s="19" t="s">
        <v>4</v>
      </c>
      <c r="G252" s="19" t="s">
        <v>2965</v>
      </c>
      <c r="H252" s="19">
        <v>94458457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ht="12.5">
      <c r="A253" s="19" t="s">
        <v>4663</v>
      </c>
      <c r="B253" s="19" t="s">
        <v>1503</v>
      </c>
      <c r="C253" s="19" t="str">
        <f t="shared" si="3"/>
        <v>Adeline -</v>
      </c>
      <c r="D253" s="19" t="s">
        <v>1489</v>
      </c>
      <c r="E253" s="19" t="s">
        <v>2994</v>
      </c>
      <c r="F253" s="19" t="s">
        <v>4</v>
      </c>
      <c r="G253" s="19" t="s">
        <v>2995</v>
      </c>
      <c r="H253" s="19">
        <v>98290418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ht="23">
      <c r="A254" s="19" t="s">
        <v>2239</v>
      </c>
      <c r="B254" s="19" t="s">
        <v>2497</v>
      </c>
      <c r="C254" s="19" t="str">
        <f t="shared" si="3"/>
        <v>James Loveridge</v>
      </c>
      <c r="D254" s="19" t="s">
        <v>1489</v>
      </c>
      <c r="E254" s="19" t="s">
        <v>2996</v>
      </c>
      <c r="F254" s="19" t="s">
        <v>4</v>
      </c>
      <c r="G254" s="19" t="s">
        <v>2499</v>
      </c>
      <c r="H254" s="19" t="s">
        <v>1503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ht="12.5">
      <c r="A255" s="19" t="s">
        <v>1065</v>
      </c>
      <c r="B255" s="19" t="s">
        <v>1503</v>
      </c>
      <c r="C255" s="19" t="str">
        <f t="shared" si="3"/>
        <v>Keith -</v>
      </c>
      <c r="D255" s="19" t="s">
        <v>1489</v>
      </c>
      <c r="E255" s="19" t="s">
        <v>2997</v>
      </c>
      <c r="F255" s="19" t="s">
        <v>4</v>
      </c>
      <c r="G255" s="19" t="s">
        <v>2998</v>
      </c>
      <c r="H255" s="19" t="s">
        <v>1503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ht="12.5">
      <c r="A256" s="19" t="s">
        <v>2999</v>
      </c>
      <c r="B256" s="19" t="s">
        <v>1503</v>
      </c>
      <c r="C256" s="19" t="str">
        <f t="shared" si="3"/>
        <v>Bernard -</v>
      </c>
      <c r="D256" s="19" t="s">
        <v>1489</v>
      </c>
      <c r="E256" s="19" t="s">
        <v>3000</v>
      </c>
      <c r="F256" s="19" t="s">
        <v>4</v>
      </c>
      <c r="G256" s="19" t="s">
        <v>842</v>
      </c>
      <c r="H256" s="19">
        <v>98178285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ht="23">
      <c r="A257" s="19" t="s">
        <v>3001</v>
      </c>
      <c r="B257" s="19" t="s">
        <v>3002</v>
      </c>
      <c r="C257" s="19" t="str">
        <f t="shared" si="3"/>
        <v>Jay Lim Jit Giep Giep</v>
      </c>
      <c r="D257" s="19" t="s">
        <v>1489</v>
      </c>
      <c r="E257" s="19" t="s">
        <v>3003</v>
      </c>
      <c r="F257" s="19" t="s">
        <v>4</v>
      </c>
      <c r="G257" s="19" t="s">
        <v>3004</v>
      </c>
      <c r="H257" s="19" t="s">
        <v>3005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ht="12.5">
      <c r="A258" s="19" t="s">
        <v>4664</v>
      </c>
      <c r="B258" s="19" t="s">
        <v>1503</v>
      </c>
      <c r="C258" s="19" t="str">
        <f t="shared" si="3"/>
        <v>Zach -</v>
      </c>
      <c r="D258" s="19" t="s">
        <v>1489</v>
      </c>
      <c r="E258" s="19" t="s">
        <v>3006</v>
      </c>
      <c r="F258" s="19" t="s">
        <v>4</v>
      </c>
      <c r="G258" s="19" t="s">
        <v>3007</v>
      </c>
      <c r="H258" s="19" t="s">
        <v>1503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ht="12.5">
      <c r="A259" s="19" t="s">
        <v>4665</v>
      </c>
      <c r="B259" s="19" t="s">
        <v>1503</v>
      </c>
      <c r="C259" s="19" t="str">
        <f t="shared" ref="C259:C322" si="4">_xlfn.CONCAT(A259," ",B259)</f>
        <v>Victoria -</v>
      </c>
      <c r="D259" s="19" t="s">
        <v>1489</v>
      </c>
      <c r="E259" s="19" t="s">
        <v>3008</v>
      </c>
      <c r="F259" s="19" t="s">
        <v>4</v>
      </c>
      <c r="G259" s="19" t="s">
        <v>3009</v>
      </c>
      <c r="H259" s="19">
        <v>97652832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ht="12.5">
      <c r="A260" s="19" t="s">
        <v>4666</v>
      </c>
      <c r="B260" s="19" t="s">
        <v>4772</v>
      </c>
      <c r="C260" s="19" t="str">
        <f t="shared" si="4"/>
        <v>Siti Nadiah</v>
      </c>
      <c r="D260" s="19" t="s">
        <v>1489</v>
      </c>
      <c r="E260" s="19" t="s">
        <v>2924</v>
      </c>
      <c r="F260" s="19" t="s">
        <v>4</v>
      </c>
      <c r="G260" s="19" t="s">
        <v>3010</v>
      </c>
      <c r="H260" s="19">
        <v>83834647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ht="12.5">
      <c r="A261" s="19" t="s">
        <v>4667</v>
      </c>
      <c r="B261" s="19" t="s">
        <v>1503</v>
      </c>
      <c r="C261" s="19" t="str">
        <f t="shared" si="4"/>
        <v>Jacey -</v>
      </c>
      <c r="D261" s="19" t="s">
        <v>1489</v>
      </c>
      <c r="E261" s="19" t="s">
        <v>3011</v>
      </c>
      <c r="F261" s="19" t="s">
        <v>4</v>
      </c>
      <c r="G261" s="19" t="s">
        <v>3012</v>
      </c>
      <c r="H261" s="19">
        <v>90221840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ht="12.5">
      <c r="A262" s="19" t="s">
        <v>4668</v>
      </c>
      <c r="B262" s="19" t="s">
        <v>1503</v>
      </c>
      <c r="C262" s="19" t="str">
        <f t="shared" si="4"/>
        <v>Cherie -</v>
      </c>
      <c r="D262" s="19" t="s">
        <v>1489</v>
      </c>
      <c r="E262" s="19" t="s">
        <v>3013</v>
      </c>
      <c r="F262" s="19" t="s">
        <v>4</v>
      </c>
      <c r="G262" s="19" t="s">
        <v>3014</v>
      </c>
      <c r="H262" s="19">
        <v>84984137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ht="12.5">
      <c r="A263" s="19" t="s">
        <v>4669</v>
      </c>
      <c r="B263" s="19" t="s">
        <v>1503</v>
      </c>
      <c r="C263" s="19" t="str">
        <f t="shared" si="4"/>
        <v>Sweet -</v>
      </c>
      <c r="D263" s="19" t="s">
        <v>1489</v>
      </c>
      <c r="E263" s="19" t="s">
        <v>3015</v>
      </c>
      <c r="F263" s="19" t="s">
        <v>4</v>
      </c>
      <c r="G263" s="19" t="s">
        <v>3016</v>
      </c>
      <c r="H263" s="19">
        <v>98306390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ht="12.5">
      <c r="A264" s="19" t="s">
        <v>4670</v>
      </c>
      <c r="B264" s="19" t="s">
        <v>1503</v>
      </c>
      <c r="C264" s="19" t="str">
        <f t="shared" si="4"/>
        <v>Roysten -</v>
      </c>
      <c r="D264" s="19" t="s">
        <v>1489</v>
      </c>
      <c r="E264" s="19" t="s">
        <v>3017</v>
      </c>
      <c r="F264" s="19" t="s">
        <v>4</v>
      </c>
      <c r="G264" s="19" t="s">
        <v>3018</v>
      </c>
      <c r="H264" s="19" t="s">
        <v>3019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ht="12.5">
      <c r="A265" s="19" t="s">
        <v>2048</v>
      </c>
      <c r="B265" s="19" t="s">
        <v>1503</v>
      </c>
      <c r="C265" s="19" t="str">
        <f t="shared" si="4"/>
        <v>Sherman -</v>
      </c>
      <c r="D265" s="19" t="s">
        <v>1489</v>
      </c>
      <c r="E265" s="19" t="s">
        <v>3020</v>
      </c>
      <c r="F265" s="19" t="s">
        <v>4</v>
      </c>
      <c r="G265" s="19" t="s">
        <v>2050</v>
      </c>
      <c r="H265" s="19" t="s">
        <v>1503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ht="12.5">
      <c r="A266" s="19" t="s">
        <v>4671</v>
      </c>
      <c r="B266" s="19" t="s">
        <v>372</v>
      </c>
      <c r="C266" s="19" t="str">
        <f t="shared" si="4"/>
        <v>Angela Tan</v>
      </c>
      <c r="D266" s="19" t="s">
        <v>1489</v>
      </c>
      <c r="E266" s="19" t="s">
        <v>3021</v>
      </c>
      <c r="F266" s="19" t="s">
        <v>4</v>
      </c>
      <c r="G266" s="19" t="s">
        <v>3022</v>
      </c>
      <c r="H266" s="19">
        <v>96874016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ht="12.5">
      <c r="A267" s="19" t="s">
        <v>4672</v>
      </c>
      <c r="B267" s="19" t="s">
        <v>1503</v>
      </c>
      <c r="C267" s="19" t="str">
        <f t="shared" si="4"/>
        <v>Octhavine -</v>
      </c>
      <c r="D267" s="19" t="s">
        <v>1489</v>
      </c>
      <c r="E267" s="19" t="s">
        <v>3023</v>
      </c>
      <c r="F267" s="19" t="s">
        <v>4</v>
      </c>
      <c r="G267" s="19" t="s">
        <v>3024</v>
      </c>
      <c r="H267" s="19">
        <v>6596555773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ht="12.5">
      <c r="A268" s="19" t="s">
        <v>4394</v>
      </c>
      <c r="B268" s="19" t="s">
        <v>4394</v>
      </c>
      <c r="C268" s="19" t="str">
        <f t="shared" si="4"/>
        <v xml:space="preserve"> </v>
      </c>
      <c r="D268" s="19" t="s">
        <v>1489</v>
      </c>
      <c r="E268" s="19" t="s">
        <v>3025</v>
      </c>
      <c r="F268" s="19" t="s">
        <v>4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ht="12.5">
      <c r="A269" s="19" t="s">
        <v>4394</v>
      </c>
      <c r="B269" s="19" t="s">
        <v>4394</v>
      </c>
      <c r="C269" s="19" t="str">
        <f t="shared" si="4"/>
        <v xml:space="preserve"> </v>
      </c>
      <c r="D269" s="19" t="s">
        <v>1489</v>
      </c>
      <c r="E269" s="19" t="s">
        <v>2924</v>
      </c>
      <c r="F269" s="19" t="s">
        <v>4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ht="12.5">
      <c r="A270" s="19" t="s">
        <v>4394</v>
      </c>
      <c r="B270" s="19" t="s">
        <v>4394</v>
      </c>
      <c r="C270" s="19" t="str">
        <f t="shared" si="4"/>
        <v xml:space="preserve"> </v>
      </c>
      <c r="D270" s="19" t="s">
        <v>1489</v>
      </c>
      <c r="E270" s="19" t="s">
        <v>2950</v>
      </c>
      <c r="F270" s="19" t="s">
        <v>4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ht="12.5">
      <c r="A271" s="19" t="s">
        <v>4394</v>
      </c>
      <c r="B271" s="19" t="s">
        <v>4394</v>
      </c>
      <c r="C271" s="19" t="str">
        <f t="shared" si="4"/>
        <v xml:space="preserve"> </v>
      </c>
      <c r="D271" s="19" t="s">
        <v>1489</v>
      </c>
      <c r="E271" s="19" t="s">
        <v>3026</v>
      </c>
      <c r="F271" s="19" t="s">
        <v>4</v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ht="12.5">
      <c r="A272" s="19" t="s">
        <v>4394</v>
      </c>
      <c r="B272" s="19" t="s">
        <v>4394</v>
      </c>
      <c r="C272" s="19" t="str">
        <f t="shared" si="4"/>
        <v xml:space="preserve"> </v>
      </c>
      <c r="D272" s="19" t="s">
        <v>1489</v>
      </c>
      <c r="E272" s="19" t="s">
        <v>2778</v>
      </c>
      <c r="F272" s="19" t="s">
        <v>4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ht="12.5">
      <c r="A273" s="19" t="s">
        <v>4394</v>
      </c>
      <c r="B273" s="19" t="s">
        <v>4394</v>
      </c>
      <c r="C273" s="19" t="str">
        <f t="shared" si="4"/>
        <v xml:space="preserve"> </v>
      </c>
      <c r="D273" s="19" t="s">
        <v>1489</v>
      </c>
      <c r="E273" s="19" t="s">
        <v>3027</v>
      </c>
      <c r="F273" s="19" t="s">
        <v>4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ht="12.5">
      <c r="A274" s="19" t="s">
        <v>4394</v>
      </c>
      <c r="B274" s="19" t="s">
        <v>4394</v>
      </c>
      <c r="C274" s="19" t="str">
        <f t="shared" si="4"/>
        <v xml:space="preserve"> </v>
      </c>
      <c r="D274" s="19" t="s">
        <v>1489</v>
      </c>
      <c r="E274" s="19" t="s">
        <v>3028</v>
      </c>
      <c r="F274" s="19" t="s">
        <v>4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ht="12.5">
      <c r="A275" s="19" t="s">
        <v>4394</v>
      </c>
      <c r="B275" s="19" t="s">
        <v>4394</v>
      </c>
      <c r="C275" s="19" t="str">
        <f t="shared" si="4"/>
        <v xml:space="preserve"> </v>
      </c>
      <c r="D275" s="19" t="s">
        <v>1489</v>
      </c>
      <c r="E275" s="19" t="s">
        <v>3029</v>
      </c>
      <c r="F275" s="19" t="s">
        <v>4</v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ht="12.5">
      <c r="A276" s="19" t="s">
        <v>4394</v>
      </c>
      <c r="B276" s="19" t="s">
        <v>4394</v>
      </c>
      <c r="C276" s="19" t="str">
        <f t="shared" si="4"/>
        <v xml:space="preserve"> </v>
      </c>
      <c r="D276" s="19" t="s">
        <v>1489</v>
      </c>
      <c r="E276" s="19" t="s">
        <v>3030</v>
      </c>
      <c r="F276" s="19" t="s">
        <v>4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ht="12.5">
      <c r="A277" s="19" t="s">
        <v>4394</v>
      </c>
      <c r="B277" s="19" t="s">
        <v>4394</v>
      </c>
      <c r="C277" s="19" t="str">
        <f t="shared" si="4"/>
        <v xml:space="preserve"> </v>
      </c>
      <c r="D277" s="19" t="s">
        <v>1489</v>
      </c>
      <c r="E277" s="19" t="s">
        <v>3031</v>
      </c>
      <c r="F277" s="19" t="s">
        <v>4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ht="12.5">
      <c r="A278" s="19" t="s">
        <v>4394</v>
      </c>
      <c r="B278" s="19" t="s">
        <v>4394</v>
      </c>
      <c r="C278" s="19" t="str">
        <f t="shared" si="4"/>
        <v xml:space="preserve"> </v>
      </c>
      <c r="D278" s="19" t="s">
        <v>1489</v>
      </c>
      <c r="E278" s="19" t="s">
        <v>3032</v>
      </c>
      <c r="F278" s="19" t="s">
        <v>4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ht="12.5">
      <c r="A279" s="19" t="s">
        <v>4394</v>
      </c>
      <c r="B279" s="19" t="s">
        <v>4394</v>
      </c>
      <c r="C279" s="19" t="str">
        <f t="shared" si="4"/>
        <v xml:space="preserve"> </v>
      </c>
      <c r="D279" s="19" t="s">
        <v>1489</v>
      </c>
      <c r="E279" s="19" t="s">
        <v>3033</v>
      </c>
      <c r="F279" s="19" t="s">
        <v>4</v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ht="12.5">
      <c r="A280" s="19" t="s">
        <v>4394</v>
      </c>
      <c r="B280" s="19" t="s">
        <v>4394</v>
      </c>
      <c r="C280" s="19" t="str">
        <f t="shared" si="4"/>
        <v xml:space="preserve"> </v>
      </c>
      <c r="D280" s="19" t="s">
        <v>1489</v>
      </c>
      <c r="E280" s="19" t="s">
        <v>3034</v>
      </c>
      <c r="F280" s="19" t="s">
        <v>4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ht="12.5">
      <c r="A281" s="19" t="s">
        <v>4394</v>
      </c>
      <c r="B281" s="19" t="s">
        <v>4394</v>
      </c>
      <c r="C281" s="19" t="str">
        <f t="shared" si="4"/>
        <v xml:space="preserve"> </v>
      </c>
      <c r="D281" s="19" t="s">
        <v>1489</v>
      </c>
      <c r="E281" s="19" t="s">
        <v>3035</v>
      </c>
      <c r="F281" s="19" t="s">
        <v>4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ht="12.5">
      <c r="A282" s="19" t="s">
        <v>4394</v>
      </c>
      <c r="B282" s="19" t="s">
        <v>4394</v>
      </c>
      <c r="C282" s="19" t="str">
        <f t="shared" si="4"/>
        <v xml:space="preserve"> </v>
      </c>
      <c r="D282" s="19" t="s">
        <v>1489</v>
      </c>
      <c r="E282" s="19" t="s">
        <v>3036</v>
      </c>
      <c r="F282" s="19" t="s">
        <v>4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ht="12.5">
      <c r="A283" s="19" t="s">
        <v>4394</v>
      </c>
      <c r="B283" s="19" t="s">
        <v>4394</v>
      </c>
      <c r="C283" s="19" t="str">
        <f t="shared" si="4"/>
        <v xml:space="preserve"> </v>
      </c>
      <c r="D283" s="19" t="s">
        <v>1489</v>
      </c>
      <c r="E283" s="19" t="s">
        <v>3037</v>
      </c>
      <c r="F283" s="19" t="s">
        <v>4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ht="12.5">
      <c r="A284" s="19" t="s">
        <v>4394</v>
      </c>
      <c r="B284" s="19" t="s">
        <v>4394</v>
      </c>
      <c r="C284" s="19" t="str">
        <f t="shared" si="4"/>
        <v xml:space="preserve"> </v>
      </c>
      <c r="D284" s="19" t="s">
        <v>1489</v>
      </c>
      <c r="E284" s="19" t="s">
        <v>3038</v>
      </c>
      <c r="F284" s="19" t="s">
        <v>4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ht="12.5">
      <c r="A285" s="19" t="s">
        <v>4394</v>
      </c>
      <c r="B285" s="19" t="s">
        <v>4394</v>
      </c>
      <c r="C285" s="19" t="str">
        <f t="shared" si="4"/>
        <v xml:space="preserve"> </v>
      </c>
      <c r="D285" s="19" t="s">
        <v>1489</v>
      </c>
      <c r="E285" s="19" t="s">
        <v>2750</v>
      </c>
      <c r="F285" s="19" t="s">
        <v>4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ht="12.5">
      <c r="A286" s="19" t="s">
        <v>4394</v>
      </c>
      <c r="B286" s="19" t="s">
        <v>4394</v>
      </c>
      <c r="C286" s="19" t="str">
        <f t="shared" si="4"/>
        <v xml:space="preserve"> </v>
      </c>
      <c r="D286" s="19" t="s">
        <v>1489</v>
      </c>
      <c r="E286" s="19" t="s">
        <v>3039</v>
      </c>
      <c r="F286" s="19" t="s">
        <v>4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ht="12.5">
      <c r="A287" s="19" t="s">
        <v>4394</v>
      </c>
      <c r="B287" s="19" t="s">
        <v>4394</v>
      </c>
      <c r="C287" s="19" t="str">
        <f t="shared" si="4"/>
        <v xml:space="preserve"> </v>
      </c>
      <c r="D287" s="19" t="s">
        <v>1489</v>
      </c>
      <c r="E287" s="19" t="s">
        <v>3040</v>
      </c>
      <c r="F287" s="19" t="s">
        <v>4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ht="12.5">
      <c r="A288" s="19" t="s">
        <v>4394</v>
      </c>
      <c r="B288" s="19" t="s">
        <v>4394</v>
      </c>
      <c r="C288" s="19" t="str">
        <f t="shared" si="4"/>
        <v xml:space="preserve"> </v>
      </c>
      <c r="D288" s="19" t="s">
        <v>1489</v>
      </c>
      <c r="E288" s="19" t="s">
        <v>3041</v>
      </c>
      <c r="F288" s="19" t="s">
        <v>4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ht="12.5">
      <c r="A289" s="19" t="s">
        <v>4394</v>
      </c>
      <c r="B289" s="19" t="s">
        <v>4394</v>
      </c>
      <c r="C289" s="19" t="str">
        <f t="shared" si="4"/>
        <v xml:space="preserve"> </v>
      </c>
      <c r="D289" s="19" t="s">
        <v>1489</v>
      </c>
      <c r="E289" s="19" t="s">
        <v>3042</v>
      </c>
      <c r="F289" s="19" t="s">
        <v>4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ht="12.5">
      <c r="A290" s="19" t="s">
        <v>4394</v>
      </c>
      <c r="B290" s="19" t="s">
        <v>4394</v>
      </c>
      <c r="C290" s="19" t="str">
        <f t="shared" si="4"/>
        <v xml:space="preserve"> </v>
      </c>
      <c r="D290" s="19" t="s">
        <v>1489</v>
      </c>
      <c r="E290" s="19" t="s">
        <v>3043</v>
      </c>
      <c r="F290" s="19" t="s">
        <v>4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ht="12.5">
      <c r="A291" s="19" t="s">
        <v>4394</v>
      </c>
      <c r="B291" s="19" t="s">
        <v>4394</v>
      </c>
      <c r="C291" s="19" t="str">
        <f t="shared" si="4"/>
        <v xml:space="preserve"> </v>
      </c>
      <c r="D291" s="19" t="s">
        <v>1489</v>
      </c>
      <c r="E291" s="19" t="s">
        <v>3044</v>
      </c>
      <c r="F291" s="19" t="s">
        <v>4</v>
      </c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ht="12.5">
      <c r="A292" s="19" t="s">
        <v>4394</v>
      </c>
      <c r="B292" s="19" t="s">
        <v>4394</v>
      </c>
      <c r="C292" s="19" t="str">
        <f t="shared" si="4"/>
        <v xml:space="preserve"> </v>
      </c>
      <c r="D292" s="19" t="s">
        <v>1489</v>
      </c>
      <c r="E292" s="19" t="s">
        <v>3045</v>
      </c>
      <c r="F292" s="19" t="s">
        <v>4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ht="12.5">
      <c r="A293" s="19" t="s">
        <v>4394</v>
      </c>
      <c r="B293" s="19" t="s">
        <v>4394</v>
      </c>
      <c r="C293" s="19" t="str">
        <f t="shared" si="4"/>
        <v xml:space="preserve"> </v>
      </c>
      <c r="D293" s="19" t="s">
        <v>1489</v>
      </c>
      <c r="E293" s="19" t="s">
        <v>3046</v>
      </c>
      <c r="F293" s="19" t="s">
        <v>4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ht="12.5">
      <c r="A294" s="19" t="s">
        <v>4394</v>
      </c>
      <c r="B294" s="19" t="s">
        <v>4394</v>
      </c>
      <c r="C294" s="19" t="str">
        <f t="shared" si="4"/>
        <v xml:space="preserve"> </v>
      </c>
      <c r="D294" s="19" t="s">
        <v>1489</v>
      </c>
      <c r="E294" s="19" t="s">
        <v>3047</v>
      </c>
      <c r="F294" s="19" t="s">
        <v>4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ht="12.5">
      <c r="A295" s="19" t="s">
        <v>4394</v>
      </c>
      <c r="B295" s="19" t="s">
        <v>4394</v>
      </c>
      <c r="C295" s="19" t="str">
        <f t="shared" si="4"/>
        <v xml:space="preserve"> </v>
      </c>
      <c r="D295" s="19" t="s">
        <v>1489</v>
      </c>
      <c r="E295" s="19" t="s">
        <v>3048</v>
      </c>
      <c r="F295" s="19" t="s">
        <v>4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ht="12.5">
      <c r="A296" s="19" t="s">
        <v>4394</v>
      </c>
      <c r="B296" s="19" t="s">
        <v>4394</v>
      </c>
      <c r="C296" s="19" t="str">
        <f t="shared" si="4"/>
        <v xml:space="preserve"> </v>
      </c>
      <c r="D296" s="19" t="s">
        <v>1489</v>
      </c>
      <c r="E296" s="19" t="s">
        <v>3049</v>
      </c>
      <c r="F296" s="19" t="s">
        <v>4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ht="12.5">
      <c r="A297" s="19" t="s">
        <v>4394</v>
      </c>
      <c r="B297" s="19" t="s">
        <v>4394</v>
      </c>
      <c r="C297" s="19" t="str">
        <f t="shared" si="4"/>
        <v xml:space="preserve"> </v>
      </c>
      <c r="D297" s="19" t="s">
        <v>1489</v>
      </c>
      <c r="E297" s="19" t="s">
        <v>3050</v>
      </c>
      <c r="F297" s="19" t="s">
        <v>4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ht="12.5">
      <c r="A298" s="19" t="s">
        <v>4394</v>
      </c>
      <c r="B298" s="19" t="s">
        <v>4394</v>
      </c>
      <c r="C298" s="19" t="str">
        <f t="shared" si="4"/>
        <v xml:space="preserve"> </v>
      </c>
      <c r="D298" s="19" t="s">
        <v>1489</v>
      </c>
      <c r="E298" s="19" t="s">
        <v>1563</v>
      </c>
      <c r="F298" s="19" t="s">
        <v>4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ht="12.5">
      <c r="A299" s="19" t="s">
        <v>4394</v>
      </c>
      <c r="B299" s="19" t="s">
        <v>4394</v>
      </c>
      <c r="C299" s="19" t="str">
        <f t="shared" si="4"/>
        <v xml:space="preserve"> </v>
      </c>
      <c r="D299" s="19" t="s">
        <v>1489</v>
      </c>
      <c r="E299" s="19" t="s">
        <v>3046</v>
      </c>
      <c r="F299" s="19" t="s">
        <v>4</v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ht="12.5">
      <c r="A300" s="19" t="s">
        <v>4394</v>
      </c>
      <c r="B300" s="19" t="s">
        <v>4394</v>
      </c>
      <c r="C300" s="19" t="str">
        <f t="shared" si="4"/>
        <v xml:space="preserve"> </v>
      </c>
      <c r="D300" s="19" t="s">
        <v>1489</v>
      </c>
      <c r="E300" s="19" t="s">
        <v>3046</v>
      </c>
      <c r="F300" s="19" t="s">
        <v>4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ht="12.5">
      <c r="A301" s="19" t="s">
        <v>4394</v>
      </c>
      <c r="B301" s="19" t="s">
        <v>4394</v>
      </c>
      <c r="C301" s="19" t="str">
        <f t="shared" si="4"/>
        <v xml:space="preserve"> </v>
      </c>
      <c r="D301" s="19" t="s">
        <v>1489</v>
      </c>
      <c r="E301" s="19" t="s">
        <v>3046</v>
      </c>
      <c r="F301" s="19" t="s">
        <v>4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ht="12.5">
      <c r="A302" s="19" t="s">
        <v>4394</v>
      </c>
      <c r="B302" s="19" t="s">
        <v>4394</v>
      </c>
      <c r="C302" s="19" t="str">
        <f t="shared" si="4"/>
        <v xml:space="preserve"> </v>
      </c>
      <c r="D302" s="19" t="s">
        <v>1489</v>
      </c>
      <c r="E302" s="19" t="s">
        <v>3051</v>
      </c>
      <c r="F302" s="19" t="s">
        <v>4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ht="12.5">
      <c r="A303" s="19" t="s">
        <v>4394</v>
      </c>
      <c r="B303" s="19" t="s">
        <v>4394</v>
      </c>
      <c r="C303" s="19" t="str">
        <f t="shared" si="4"/>
        <v xml:space="preserve"> </v>
      </c>
      <c r="D303" s="19" t="s">
        <v>1489</v>
      </c>
      <c r="E303" s="19" t="s">
        <v>3052</v>
      </c>
      <c r="F303" s="19" t="s">
        <v>4</v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ht="12.5">
      <c r="A304" s="19" t="s">
        <v>4394</v>
      </c>
      <c r="B304" s="19" t="s">
        <v>4394</v>
      </c>
      <c r="C304" s="19" t="str">
        <f t="shared" si="4"/>
        <v xml:space="preserve"> </v>
      </c>
      <c r="D304" s="19" t="s">
        <v>1489</v>
      </c>
      <c r="E304" s="19" t="s">
        <v>3053</v>
      </c>
      <c r="F304" s="19" t="s">
        <v>4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ht="12.5">
      <c r="A305" s="19" t="s">
        <v>4394</v>
      </c>
      <c r="B305" s="19" t="s">
        <v>4394</v>
      </c>
      <c r="C305" s="19" t="str">
        <f t="shared" si="4"/>
        <v xml:space="preserve"> </v>
      </c>
      <c r="D305" s="19" t="s">
        <v>1489</v>
      </c>
      <c r="E305" s="19" t="s">
        <v>3054</v>
      </c>
      <c r="F305" s="19" t="s">
        <v>4</v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ht="12.5">
      <c r="A306" s="19" t="s">
        <v>4394</v>
      </c>
      <c r="B306" s="19" t="s">
        <v>4394</v>
      </c>
      <c r="C306" s="19" t="str">
        <f t="shared" si="4"/>
        <v xml:space="preserve"> </v>
      </c>
      <c r="D306" s="19" t="s">
        <v>1489</v>
      </c>
      <c r="E306" s="19" t="s">
        <v>3055</v>
      </c>
      <c r="F306" s="19" t="s">
        <v>4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ht="12.5">
      <c r="A307" s="19" t="s">
        <v>4394</v>
      </c>
      <c r="B307" s="19" t="s">
        <v>4394</v>
      </c>
      <c r="C307" s="19" t="str">
        <f t="shared" si="4"/>
        <v xml:space="preserve"> </v>
      </c>
      <c r="D307" s="19" t="s">
        <v>1489</v>
      </c>
      <c r="E307" s="19" t="s">
        <v>3056</v>
      </c>
      <c r="F307" s="19" t="s">
        <v>4</v>
      </c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ht="12.5">
      <c r="A308" s="19" t="s">
        <v>4562</v>
      </c>
      <c r="B308" s="19" t="s">
        <v>1503</v>
      </c>
      <c r="C308" s="19" t="str">
        <f t="shared" si="4"/>
        <v>Alvin -</v>
      </c>
      <c r="D308" s="19" t="s">
        <v>1489</v>
      </c>
      <c r="E308" s="19" t="s">
        <v>3057</v>
      </c>
      <c r="F308" s="19" t="s">
        <v>4</v>
      </c>
      <c r="G308" s="19" t="s">
        <v>3058</v>
      </c>
      <c r="H308" s="19">
        <v>97630707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ht="23">
      <c r="A309" s="19" t="s">
        <v>911</v>
      </c>
      <c r="B309" s="19" t="s">
        <v>1710</v>
      </c>
      <c r="C309" s="19" t="str">
        <f t="shared" si="4"/>
        <v>Nicole NG</v>
      </c>
      <c r="D309" s="19" t="s">
        <v>1489</v>
      </c>
      <c r="E309" s="19" t="s">
        <v>3059</v>
      </c>
      <c r="F309" s="19" t="s">
        <v>4</v>
      </c>
      <c r="G309" s="19" t="s">
        <v>3060</v>
      </c>
      <c r="H309" s="19">
        <v>92991078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ht="12.5">
      <c r="A310" s="19" t="s">
        <v>3061</v>
      </c>
      <c r="B310" s="19" t="s">
        <v>1503</v>
      </c>
      <c r="C310" s="19" t="str">
        <f t="shared" si="4"/>
        <v>Edylyn -</v>
      </c>
      <c r="D310" s="19" t="s">
        <v>1489</v>
      </c>
      <c r="E310" s="19" t="s">
        <v>3062</v>
      </c>
      <c r="F310" s="19" t="s">
        <v>4</v>
      </c>
      <c r="G310" s="19" t="s">
        <v>3063</v>
      </c>
      <c r="H310" s="19">
        <v>92256651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ht="12.5">
      <c r="A311" s="19" t="s">
        <v>701</v>
      </c>
      <c r="B311" s="19" t="s">
        <v>372</v>
      </c>
      <c r="C311" s="19" t="str">
        <f t="shared" si="4"/>
        <v>Terence Tan</v>
      </c>
      <c r="D311" s="19" t="s">
        <v>1489</v>
      </c>
      <c r="E311" s="19" t="s">
        <v>2935</v>
      </c>
      <c r="F311" s="19" t="s">
        <v>4</v>
      </c>
      <c r="G311" s="19" t="s">
        <v>3064</v>
      </c>
      <c r="H311" s="19" t="s">
        <v>1503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ht="12.5">
      <c r="A312" s="19" t="s">
        <v>1503</v>
      </c>
      <c r="B312" s="19" t="s">
        <v>1503</v>
      </c>
      <c r="C312" s="19" t="str">
        <f t="shared" si="4"/>
        <v>- -</v>
      </c>
      <c r="D312" s="19" t="s">
        <v>1489</v>
      </c>
      <c r="E312" s="19" t="s">
        <v>1503</v>
      </c>
      <c r="F312" s="19" t="s">
        <v>4</v>
      </c>
      <c r="G312" s="19" t="s">
        <v>3065</v>
      </c>
      <c r="H312" s="19" t="s">
        <v>1503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ht="12.5">
      <c r="A313" s="19" t="s">
        <v>1503</v>
      </c>
      <c r="B313" s="19" t="s">
        <v>1503</v>
      </c>
      <c r="C313" s="19" t="str">
        <f t="shared" si="4"/>
        <v>- -</v>
      </c>
      <c r="D313" s="19" t="s">
        <v>1489</v>
      </c>
      <c r="E313" s="19" t="s">
        <v>3066</v>
      </c>
      <c r="F313" s="19" t="s">
        <v>4</v>
      </c>
      <c r="G313" s="19" t="s">
        <v>3067</v>
      </c>
      <c r="H313" s="19" t="s">
        <v>1503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ht="12.5">
      <c r="A314" s="19" t="s">
        <v>355</v>
      </c>
      <c r="B314" s="19" t="s">
        <v>803</v>
      </c>
      <c r="C314" s="19" t="str">
        <f t="shared" si="4"/>
        <v>Jason Seah</v>
      </c>
      <c r="D314" s="19" t="s">
        <v>1489</v>
      </c>
      <c r="E314" s="19" t="s">
        <v>3068</v>
      </c>
      <c r="F314" s="19" t="s">
        <v>4</v>
      </c>
      <c r="G314" s="19" t="s">
        <v>3069</v>
      </c>
      <c r="H314" s="19">
        <v>93893806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ht="12.5">
      <c r="A315" s="19" t="s">
        <v>1041</v>
      </c>
      <c r="B315" s="19" t="s">
        <v>3070</v>
      </c>
      <c r="C315" s="19" t="str">
        <f t="shared" si="4"/>
        <v>Jack Kulad</v>
      </c>
      <c r="D315" s="19" t="s">
        <v>1489</v>
      </c>
      <c r="E315" s="19" t="s">
        <v>842</v>
      </c>
      <c r="F315" s="19" t="s">
        <v>4</v>
      </c>
      <c r="G315" s="19" t="s">
        <v>3071</v>
      </c>
      <c r="H315" s="19" t="s">
        <v>842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ht="12.5">
      <c r="A316" s="19" t="s">
        <v>1149</v>
      </c>
      <c r="B316" s="19" t="s">
        <v>3072</v>
      </c>
      <c r="C316" s="19" t="str">
        <f t="shared" si="4"/>
        <v>Ethan Skinner</v>
      </c>
      <c r="D316" s="19" t="s">
        <v>1489</v>
      </c>
      <c r="E316" s="19" t="s">
        <v>842</v>
      </c>
      <c r="F316" s="19" t="s">
        <v>4</v>
      </c>
      <c r="G316" s="19" t="s">
        <v>3073</v>
      </c>
      <c r="H316" s="19" t="s">
        <v>842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ht="12.5">
      <c r="A317" s="19" t="s">
        <v>3074</v>
      </c>
      <c r="B317" s="19" t="s">
        <v>1503</v>
      </c>
      <c r="C317" s="19" t="str">
        <f t="shared" si="4"/>
        <v>Shaon -</v>
      </c>
      <c r="D317" s="19" t="s">
        <v>1489</v>
      </c>
      <c r="E317" s="19" t="s">
        <v>842</v>
      </c>
      <c r="F317" s="19" t="s">
        <v>4</v>
      </c>
      <c r="G317" s="19" t="s">
        <v>3075</v>
      </c>
      <c r="H317" s="19" t="s">
        <v>1493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ht="12.5">
      <c r="A318" s="19" t="s">
        <v>529</v>
      </c>
      <c r="B318" s="19" t="s">
        <v>1503</v>
      </c>
      <c r="C318" s="19" t="str">
        <f t="shared" si="4"/>
        <v>Robert -</v>
      </c>
      <c r="D318" s="19" t="s">
        <v>1489</v>
      </c>
      <c r="E318" s="19" t="s">
        <v>842</v>
      </c>
      <c r="F318" s="19" t="s">
        <v>4</v>
      </c>
      <c r="G318" s="19" t="s">
        <v>3076</v>
      </c>
      <c r="H318" s="19" t="s">
        <v>842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ht="12.5">
      <c r="A319" s="19" t="s">
        <v>694</v>
      </c>
      <c r="B319" s="19" t="s">
        <v>1503</v>
      </c>
      <c r="C319" s="19" t="str">
        <f t="shared" si="4"/>
        <v>John -</v>
      </c>
      <c r="D319" s="19" t="s">
        <v>1489</v>
      </c>
      <c r="E319" s="19" t="s">
        <v>842</v>
      </c>
      <c r="F319" s="19" t="s">
        <v>4</v>
      </c>
      <c r="G319" s="19" t="s">
        <v>3077</v>
      </c>
      <c r="H319" s="19" t="s">
        <v>842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ht="12.5">
      <c r="A320" s="19" t="s">
        <v>3078</v>
      </c>
      <c r="B320" s="19" t="s">
        <v>1503</v>
      </c>
      <c r="C320" s="19" t="str">
        <f t="shared" si="4"/>
        <v>Manasa -</v>
      </c>
      <c r="D320" s="19" t="s">
        <v>1489</v>
      </c>
      <c r="E320" s="19" t="s">
        <v>1493</v>
      </c>
      <c r="F320" s="19" t="s">
        <v>4</v>
      </c>
      <c r="G320" s="19" t="s">
        <v>3079</v>
      </c>
      <c r="H320" s="19" t="s">
        <v>842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ht="12.5">
      <c r="A321" s="19" t="s">
        <v>3080</v>
      </c>
      <c r="B321" s="19" t="s">
        <v>1503</v>
      </c>
      <c r="C321" s="19" t="str">
        <f t="shared" si="4"/>
        <v>Jessica -</v>
      </c>
      <c r="D321" s="19" t="s">
        <v>1489</v>
      </c>
      <c r="E321" s="19" t="s">
        <v>3081</v>
      </c>
      <c r="F321" s="19" t="s">
        <v>4</v>
      </c>
      <c r="G321" s="19" t="s">
        <v>1493</v>
      </c>
      <c r="H321" s="19">
        <v>81898826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ht="12.5">
      <c r="A322" s="19" t="s">
        <v>4673</v>
      </c>
      <c r="B322" s="19" t="s">
        <v>1503</v>
      </c>
      <c r="C322" s="19" t="str">
        <f t="shared" si="4"/>
        <v>Serene -</v>
      </c>
      <c r="D322" s="19" t="s">
        <v>1489</v>
      </c>
      <c r="E322" s="19" t="s">
        <v>3082</v>
      </c>
      <c r="F322" s="19" t="s">
        <v>4</v>
      </c>
      <c r="G322" s="19" t="s">
        <v>3083</v>
      </c>
      <c r="H322" s="19">
        <v>98486543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ht="12.5">
      <c r="A323" s="19" t="s">
        <v>596</v>
      </c>
      <c r="B323" s="19" t="s">
        <v>4773</v>
      </c>
      <c r="C323" s="19" t="str">
        <f t="shared" ref="C323:C386" si="5">_xlfn.CONCAT(A323," ",B323)</f>
        <v>Sean Yeam</v>
      </c>
      <c r="D323" s="19" t="s">
        <v>1489</v>
      </c>
      <c r="E323" s="19" t="s">
        <v>3084</v>
      </c>
      <c r="F323" s="19" t="s">
        <v>4</v>
      </c>
      <c r="G323" s="19" t="s">
        <v>3085</v>
      </c>
      <c r="H323" s="19">
        <v>93842374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ht="23">
      <c r="A324" s="19" t="s">
        <v>4674</v>
      </c>
      <c r="B324" s="19" t="s">
        <v>821</v>
      </c>
      <c r="C324" s="19" t="str">
        <f t="shared" si="5"/>
        <v>shareen Lee</v>
      </c>
      <c r="D324" s="19" t="s">
        <v>1489</v>
      </c>
      <c r="E324" s="19" t="s">
        <v>3086</v>
      </c>
      <c r="F324" s="19" t="s">
        <v>4</v>
      </c>
      <c r="G324" s="19" t="s">
        <v>3087</v>
      </c>
      <c r="H324" s="19" t="s">
        <v>1493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ht="12.5">
      <c r="A325" s="19" t="s">
        <v>4675</v>
      </c>
      <c r="B325" s="19" t="s">
        <v>4774</v>
      </c>
      <c r="C325" s="19" t="str">
        <f t="shared" si="5"/>
        <v>Yukun Shi</v>
      </c>
      <c r="D325" s="19" t="s">
        <v>1489</v>
      </c>
      <c r="E325" s="19" t="s">
        <v>3088</v>
      </c>
      <c r="F325" s="19" t="s">
        <v>4</v>
      </c>
      <c r="G325" s="19" t="s">
        <v>3089</v>
      </c>
      <c r="H325" s="19" t="s">
        <v>1493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ht="12.5">
      <c r="A326" s="19" t="s">
        <v>4676</v>
      </c>
      <c r="B326" s="19" t="s">
        <v>1503</v>
      </c>
      <c r="C326" s="19" t="str">
        <f t="shared" si="5"/>
        <v>Fredrick -</v>
      </c>
      <c r="D326" s="19" t="s">
        <v>1489</v>
      </c>
      <c r="E326" s="19" t="s">
        <v>1645</v>
      </c>
      <c r="F326" s="19" t="s">
        <v>4</v>
      </c>
      <c r="G326" s="19" t="s">
        <v>1493</v>
      </c>
      <c r="H326" s="19" t="s">
        <v>3090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ht="12.5">
      <c r="A327" s="19" t="s">
        <v>4677</v>
      </c>
      <c r="B327" s="19" t="s">
        <v>1503</v>
      </c>
      <c r="C327" s="19" t="str">
        <f t="shared" si="5"/>
        <v>Aderick -</v>
      </c>
      <c r="D327" s="19" t="s">
        <v>1489</v>
      </c>
      <c r="E327" s="19" t="s">
        <v>1493</v>
      </c>
      <c r="F327" s="19" t="s">
        <v>4</v>
      </c>
      <c r="G327" s="19" t="s">
        <v>3091</v>
      </c>
      <c r="H327" s="19" t="s">
        <v>1493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ht="12.5">
      <c r="A328" s="19" t="s">
        <v>4675</v>
      </c>
      <c r="B328" s="19" t="s">
        <v>4774</v>
      </c>
      <c r="C328" s="19" t="str">
        <f t="shared" si="5"/>
        <v>Yukun Shi</v>
      </c>
      <c r="D328" s="19" t="s">
        <v>1489</v>
      </c>
      <c r="E328" s="19" t="s">
        <v>3088</v>
      </c>
      <c r="F328" s="19" t="s">
        <v>4</v>
      </c>
      <c r="G328" s="20" t="s">
        <v>3089</v>
      </c>
      <c r="H328" s="19">
        <v>98766760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ht="12.5">
      <c r="A329" s="19" t="s">
        <v>2232</v>
      </c>
      <c r="B329" s="19" t="s">
        <v>821</v>
      </c>
      <c r="C329" s="19" t="str">
        <f t="shared" si="5"/>
        <v>Catherine Lee</v>
      </c>
      <c r="D329" s="19" t="s">
        <v>1489</v>
      </c>
      <c r="E329" s="19" t="s">
        <v>3092</v>
      </c>
      <c r="F329" s="19" t="s">
        <v>4</v>
      </c>
      <c r="G329" s="19" t="s">
        <v>2785</v>
      </c>
      <c r="H329" s="19" t="s">
        <v>3093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ht="12.5">
      <c r="A330" s="19" t="s">
        <v>3827</v>
      </c>
      <c r="B330" s="19" t="s">
        <v>1503</v>
      </c>
      <c r="C330" s="19" t="str">
        <f t="shared" si="5"/>
        <v>Bobby -</v>
      </c>
      <c r="D330" s="19" t="s">
        <v>1489</v>
      </c>
      <c r="E330" s="19" t="s">
        <v>3094</v>
      </c>
      <c r="F330" s="19" t="s">
        <v>4</v>
      </c>
      <c r="G330" s="19" t="s">
        <v>2715</v>
      </c>
      <c r="H330" s="19" t="s">
        <v>1503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ht="12.5">
      <c r="A331" s="19" t="s">
        <v>1929</v>
      </c>
      <c r="B331" s="19" t="s">
        <v>1503</v>
      </c>
      <c r="C331" s="19" t="str">
        <f t="shared" si="5"/>
        <v>Jennifer -</v>
      </c>
      <c r="D331" s="19" t="s">
        <v>1489</v>
      </c>
      <c r="E331" s="19" t="s">
        <v>1645</v>
      </c>
      <c r="F331" s="19" t="s">
        <v>4</v>
      </c>
      <c r="G331" s="19" t="s">
        <v>3095</v>
      </c>
      <c r="H331" s="19">
        <v>83882403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ht="34.5">
      <c r="A332" s="19" t="s">
        <v>821</v>
      </c>
      <c r="B332" s="19" t="s">
        <v>1503</v>
      </c>
      <c r="C332" s="19" t="str">
        <f t="shared" si="5"/>
        <v>Lee -</v>
      </c>
      <c r="D332" s="19" t="s">
        <v>1489</v>
      </c>
      <c r="E332" s="19" t="s">
        <v>3096</v>
      </c>
      <c r="F332" s="19" t="s">
        <v>4</v>
      </c>
      <c r="G332" s="20" t="s">
        <v>3097</v>
      </c>
      <c r="H332" s="19" t="s">
        <v>3098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ht="12.5">
      <c r="A333" s="19" t="s">
        <v>4678</v>
      </c>
      <c r="B333" s="19" t="s">
        <v>1503</v>
      </c>
      <c r="C333" s="19" t="str">
        <f t="shared" si="5"/>
        <v>Ms May -</v>
      </c>
      <c r="D333" s="19" t="s">
        <v>1489</v>
      </c>
      <c r="E333" s="19" t="s">
        <v>1512</v>
      </c>
      <c r="F333" s="19" t="s">
        <v>4</v>
      </c>
      <c r="G333" s="19" t="s">
        <v>842</v>
      </c>
      <c r="H333" s="19" t="s">
        <v>3099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ht="12.5">
      <c r="A334" s="19" t="s">
        <v>4679</v>
      </c>
      <c r="B334" s="19" t="s">
        <v>4775</v>
      </c>
      <c r="C334" s="19" t="str">
        <f t="shared" si="5"/>
        <v>Pankaj Thapa</v>
      </c>
      <c r="D334" s="19" t="s">
        <v>1489</v>
      </c>
      <c r="E334" s="19" t="s">
        <v>3100</v>
      </c>
      <c r="F334" s="19" t="s">
        <v>4</v>
      </c>
      <c r="G334" s="19" t="s">
        <v>3101</v>
      </c>
      <c r="H334" s="19">
        <v>87529982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ht="12.5">
      <c r="A335" s="19" t="s">
        <v>3102</v>
      </c>
      <c r="B335" s="19" t="s">
        <v>1503</v>
      </c>
      <c r="C335" s="19" t="str">
        <f t="shared" si="5"/>
        <v>Sanearora -</v>
      </c>
      <c r="D335" s="19" t="s">
        <v>1489</v>
      </c>
      <c r="E335" s="19" t="s">
        <v>3103</v>
      </c>
      <c r="F335" s="19" t="s">
        <v>4</v>
      </c>
      <c r="G335" s="19" t="s">
        <v>3104</v>
      </c>
      <c r="H335" s="19" t="s">
        <v>842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ht="12.5">
      <c r="A336" s="19" t="s">
        <v>4680</v>
      </c>
      <c r="B336" s="19" t="s">
        <v>1503</v>
      </c>
      <c r="C336" s="19" t="str">
        <f t="shared" si="5"/>
        <v>Nick -</v>
      </c>
      <c r="D336" s="19" t="s">
        <v>1489</v>
      </c>
      <c r="E336" s="19" t="s">
        <v>3105</v>
      </c>
      <c r="F336" s="19" t="s">
        <v>4</v>
      </c>
      <c r="G336" s="19" t="s">
        <v>3106</v>
      </c>
      <c r="H336" s="19">
        <v>96804520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ht="12.5">
      <c r="A337" s="19" t="s">
        <v>4681</v>
      </c>
      <c r="B337" s="19" t="s">
        <v>1503</v>
      </c>
      <c r="C337" s="19" t="str">
        <f t="shared" si="5"/>
        <v>Krison -</v>
      </c>
      <c r="D337" s="19" t="s">
        <v>1489</v>
      </c>
      <c r="E337" s="19" t="s">
        <v>1645</v>
      </c>
      <c r="F337" s="19" t="s">
        <v>4</v>
      </c>
      <c r="G337" s="19" t="s">
        <v>842</v>
      </c>
      <c r="H337" s="19">
        <v>97887166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ht="12.5">
      <c r="A338" s="19" t="s">
        <v>4682</v>
      </c>
      <c r="B338" s="19" t="s">
        <v>1503</v>
      </c>
      <c r="C338" s="19" t="str">
        <f t="shared" si="5"/>
        <v>Nini -</v>
      </c>
      <c r="D338" s="19" t="s">
        <v>1489</v>
      </c>
      <c r="E338" s="19" t="s">
        <v>3107</v>
      </c>
      <c r="F338" s="19" t="s">
        <v>4</v>
      </c>
      <c r="G338" s="19" t="s">
        <v>3108</v>
      </c>
      <c r="H338" s="19" t="s">
        <v>1503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ht="12.5">
      <c r="A339" s="19" t="s">
        <v>4683</v>
      </c>
      <c r="B339" s="19" t="s">
        <v>1503</v>
      </c>
      <c r="C339" s="19" t="str">
        <f t="shared" si="5"/>
        <v>Faayiz -</v>
      </c>
      <c r="D339" s="19" t="s">
        <v>1489</v>
      </c>
      <c r="E339" s="19" t="s">
        <v>3109</v>
      </c>
      <c r="F339" s="19" t="s">
        <v>4</v>
      </c>
      <c r="G339" s="20" t="s">
        <v>3110</v>
      </c>
      <c r="H339" s="19">
        <v>93800239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ht="12.5">
      <c r="A340" s="19" t="s">
        <v>4684</v>
      </c>
      <c r="B340" s="19" t="s">
        <v>1503</v>
      </c>
      <c r="C340" s="19" t="str">
        <f t="shared" si="5"/>
        <v>Azhar Majid -</v>
      </c>
      <c r="D340" s="19" t="s">
        <v>1489</v>
      </c>
      <c r="E340" s="19" t="s">
        <v>1503</v>
      </c>
      <c r="F340" s="19" t="s">
        <v>4</v>
      </c>
      <c r="G340" s="19" t="s">
        <v>3111</v>
      </c>
      <c r="H340" s="19" t="s">
        <v>1503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ht="23">
      <c r="A341" s="19" t="s">
        <v>4685</v>
      </c>
      <c r="B341" s="19" t="s">
        <v>4685</v>
      </c>
      <c r="C341" s="19" t="str">
        <f t="shared" si="5"/>
        <v>Webinar Webinar</v>
      </c>
      <c r="D341" s="19" t="s">
        <v>1489</v>
      </c>
      <c r="E341" s="19" t="s">
        <v>1503</v>
      </c>
      <c r="F341" s="19" t="s">
        <v>4</v>
      </c>
      <c r="G341" s="19" t="s">
        <v>3112</v>
      </c>
      <c r="H341" s="19" t="s">
        <v>1503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ht="23">
      <c r="A342" s="19" t="s">
        <v>4685</v>
      </c>
      <c r="B342" s="19" t="s">
        <v>4685</v>
      </c>
      <c r="C342" s="19" t="str">
        <f t="shared" si="5"/>
        <v>Webinar Webinar</v>
      </c>
      <c r="D342" s="19" t="s">
        <v>1489</v>
      </c>
      <c r="E342" s="19" t="s">
        <v>1503</v>
      </c>
      <c r="F342" s="19" t="s">
        <v>4</v>
      </c>
      <c r="G342" s="19" t="s">
        <v>3113</v>
      </c>
      <c r="H342" s="19" t="s">
        <v>1503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ht="23">
      <c r="A343" s="19" t="s">
        <v>4685</v>
      </c>
      <c r="B343" s="19" t="s">
        <v>4685</v>
      </c>
      <c r="C343" s="19" t="str">
        <f t="shared" si="5"/>
        <v>Webinar Webinar</v>
      </c>
      <c r="D343" s="19" t="s">
        <v>1489</v>
      </c>
      <c r="E343" s="19" t="s">
        <v>1503</v>
      </c>
      <c r="F343" s="19" t="s">
        <v>4</v>
      </c>
      <c r="G343" s="19" t="s">
        <v>3114</v>
      </c>
      <c r="H343" s="19" t="s">
        <v>1503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ht="23">
      <c r="A344" s="19" t="s">
        <v>4685</v>
      </c>
      <c r="B344" s="19" t="s">
        <v>4685</v>
      </c>
      <c r="C344" s="19" t="str">
        <f t="shared" si="5"/>
        <v>Webinar Webinar</v>
      </c>
      <c r="D344" s="19" t="s">
        <v>1489</v>
      </c>
      <c r="E344" s="19" t="s">
        <v>1503</v>
      </c>
      <c r="F344" s="19" t="s">
        <v>4</v>
      </c>
      <c r="G344" s="19" t="s">
        <v>3115</v>
      </c>
      <c r="H344" s="19" t="s">
        <v>1503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ht="23">
      <c r="A345" s="19" t="s">
        <v>4685</v>
      </c>
      <c r="B345" s="19" t="s">
        <v>4685</v>
      </c>
      <c r="C345" s="19" t="str">
        <f t="shared" si="5"/>
        <v>Webinar Webinar</v>
      </c>
      <c r="D345" s="19" t="s">
        <v>1489</v>
      </c>
      <c r="E345" s="19" t="s">
        <v>1503</v>
      </c>
      <c r="F345" s="19" t="s">
        <v>4</v>
      </c>
      <c r="G345" s="19" t="s">
        <v>3116</v>
      </c>
      <c r="H345" s="19" t="s">
        <v>1503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ht="23">
      <c r="A346" s="19" t="s">
        <v>4685</v>
      </c>
      <c r="B346" s="19" t="s">
        <v>4685</v>
      </c>
      <c r="C346" s="19" t="str">
        <f t="shared" si="5"/>
        <v>Webinar Webinar</v>
      </c>
      <c r="D346" s="19" t="s">
        <v>1489</v>
      </c>
      <c r="E346" s="19" t="s">
        <v>1503</v>
      </c>
      <c r="F346" s="19" t="s">
        <v>4</v>
      </c>
      <c r="G346" s="19" t="s">
        <v>3117</v>
      </c>
      <c r="H346" s="19" t="s">
        <v>1503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ht="23">
      <c r="A347" s="19" t="s">
        <v>4685</v>
      </c>
      <c r="B347" s="19" t="s">
        <v>4685</v>
      </c>
      <c r="C347" s="19" t="str">
        <f t="shared" si="5"/>
        <v>Webinar Webinar</v>
      </c>
      <c r="D347" s="19" t="s">
        <v>1489</v>
      </c>
      <c r="E347" s="19" t="s">
        <v>1503</v>
      </c>
      <c r="F347" s="19" t="s">
        <v>4</v>
      </c>
      <c r="G347" s="19" t="s">
        <v>3118</v>
      </c>
      <c r="H347" s="19" t="s">
        <v>1503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ht="23">
      <c r="A348" s="19" t="s">
        <v>4685</v>
      </c>
      <c r="B348" s="19" t="s">
        <v>4685</v>
      </c>
      <c r="C348" s="19" t="str">
        <f t="shared" si="5"/>
        <v>Webinar Webinar</v>
      </c>
      <c r="D348" s="19" t="s">
        <v>1489</v>
      </c>
      <c r="E348" s="19" t="s">
        <v>1503</v>
      </c>
      <c r="F348" s="19" t="s">
        <v>4</v>
      </c>
      <c r="G348" s="19" t="s">
        <v>3119</v>
      </c>
      <c r="H348" s="19" t="s">
        <v>1503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ht="23">
      <c r="A349" s="19" t="s">
        <v>4685</v>
      </c>
      <c r="B349" s="19" t="s">
        <v>4685</v>
      </c>
      <c r="C349" s="19" t="str">
        <f t="shared" si="5"/>
        <v>Webinar Webinar</v>
      </c>
      <c r="D349" s="19" t="s">
        <v>1489</v>
      </c>
      <c r="E349" s="19" t="s">
        <v>1503</v>
      </c>
      <c r="F349" s="19" t="s">
        <v>4</v>
      </c>
      <c r="G349" s="19" t="s">
        <v>3120</v>
      </c>
      <c r="H349" s="19" t="s">
        <v>1503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ht="23">
      <c r="A350" s="19" t="s">
        <v>4685</v>
      </c>
      <c r="B350" s="19" t="s">
        <v>4685</v>
      </c>
      <c r="C350" s="19" t="str">
        <f t="shared" si="5"/>
        <v>Webinar Webinar</v>
      </c>
      <c r="D350" s="19" t="s">
        <v>1489</v>
      </c>
      <c r="E350" s="19" t="s">
        <v>1503</v>
      </c>
      <c r="F350" s="19" t="s">
        <v>4</v>
      </c>
      <c r="G350" s="19" t="s">
        <v>3121</v>
      </c>
      <c r="H350" s="19" t="s">
        <v>1503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ht="23">
      <c r="A351" s="19" t="s">
        <v>4685</v>
      </c>
      <c r="B351" s="19" t="s">
        <v>4685</v>
      </c>
      <c r="C351" s="19" t="str">
        <f t="shared" si="5"/>
        <v>Webinar Webinar</v>
      </c>
      <c r="D351" s="19" t="s">
        <v>1489</v>
      </c>
      <c r="E351" s="19" t="s">
        <v>1503</v>
      </c>
      <c r="F351" s="19" t="s">
        <v>4</v>
      </c>
      <c r="G351" s="19" t="s">
        <v>3122</v>
      </c>
      <c r="H351" s="19" t="s">
        <v>1503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ht="23">
      <c r="A352" s="19" t="s">
        <v>4685</v>
      </c>
      <c r="B352" s="19" t="s">
        <v>4685</v>
      </c>
      <c r="C352" s="19" t="str">
        <f t="shared" si="5"/>
        <v>Webinar Webinar</v>
      </c>
      <c r="D352" s="19" t="s">
        <v>1489</v>
      </c>
      <c r="E352" s="19" t="s">
        <v>1503</v>
      </c>
      <c r="F352" s="19" t="s">
        <v>4</v>
      </c>
      <c r="G352" s="19" t="s">
        <v>3123</v>
      </c>
      <c r="H352" s="19" t="s">
        <v>1503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ht="23">
      <c r="A353" s="19" t="s">
        <v>4685</v>
      </c>
      <c r="B353" s="19" t="s">
        <v>4685</v>
      </c>
      <c r="C353" s="19" t="str">
        <f t="shared" si="5"/>
        <v>Webinar Webinar</v>
      </c>
      <c r="D353" s="19" t="s">
        <v>1489</v>
      </c>
      <c r="E353" s="19" t="s">
        <v>1503</v>
      </c>
      <c r="F353" s="19" t="s">
        <v>4</v>
      </c>
      <c r="G353" s="19" t="s">
        <v>3124</v>
      </c>
      <c r="H353" s="19" t="s">
        <v>1503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ht="23">
      <c r="A354" s="19" t="s">
        <v>4685</v>
      </c>
      <c r="B354" s="19" t="s">
        <v>4685</v>
      </c>
      <c r="C354" s="19" t="str">
        <f t="shared" si="5"/>
        <v>Webinar Webinar</v>
      </c>
      <c r="D354" s="19" t="s">
        <v>1489</v>
      </c>
      <c r="E354" s="19" t="s">
        <v>1503</v>
      </c>
      <c r="F354" s="19" t="s">
        <v>4</v>
      </c>
      <c r="G354" s="19" t="s">
        <v>3125</v>
      </c>
      <c r="H354" s="19" t="s">
        <v>1503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ht="23">
      <c r="A355" s="19" t="s">
        <v>4685</v>
      </c>
      <c r="B355" s="19" t="s">
        <v>4685</v>
      </c>
      <c r="C355" s="19" t="str">
        <f t="shared" si="5"/>
        <v>Webinar Webinar</v>
      </c>
      <c r="D355" s="19" t="s">
        <v>1489</v>
      </c>
      <c r="E355" s="19" t="s">
        <v>1503</v>
      </c>
      <c r="F355" s="19" t="s">
        <v>4</v>
      </c>
      <c r="G355" s="19" t="s">
        <v>3126</v>
      </c>
      <c r="H355" s="19" t="s">
        <v>1503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ht="23">
      <c r="A356" s="19" t="s">
        <v>4685</v>
      </c>
      <c r="B356" s="19" t="s">
        <v>4685</v>
      </c>
      <c r="C356" s="19" t="str">
        <f t="shared" si="5"/>
        <v>Webinar Webinar</v>
      </c>
      <c r="D356" s="19" t="s">
        <v>1489</v>
      </c>
      <c r="E356" s="19" t="s">
        <v>1503</v>
      </c>
      <c r="F356" s="19" t="s">
        <v>4</v>
      </c>
      <c r="G356" s="19" t="s">
        <v>3127</v>
      </c>
      <c r="H356" s="19" t="s">
        <v>1503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ht="23">
      <c r="A357" s="19" t="s">
        <v>4685</v>
      </c>
      <c r="B357" s="19" t="s">
        <v>4685</v>
      </c>
      <c r="C357" s="19" t="str">
        <f t="shared" si="5"/>
        <v>Webinar Webinar</v>
      </c>
      <c r="D357" s="19" t="s">
        <v>1489</v>
      </c>
      <c r="E357" s="19" t="s">
        <v>1503</v>
      </c>
      <c r="F357" s="19" t="s">
        <v>4</v>
      </c>
      <c r="G357" s="19" t="s">
        <v>2769</v>
      </c>
      <c r="H357" s="19" t="s">
        <v>1503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ht="23">
      <c r="A358" s="19" t="s">
        <v>4685</v>
      </c>
      <c r="B358" s="19" t="s">
        <v>4685</v>
      </c>
      <c r="C358" s="19" t="str">
        <f t="shared" si="5"/>
        <v>Webinar Webinar</v>
      </c>
      <c r="D358" s="19" t="s">
        <v>1489</v>
      </c>
      <c r="E358" s="19" t="s">
        <v>1503</v>
      </c>
      <c r="F358" s="19" t="s">
        <v>4</v>
      </c>
      <c r="G358" s="19" t="s">
        <v>3128</v>
      </c>
      <c r="H358" s="19" t="s">
        <v>1503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ht="23">
      <c r="A359" s="19" t="s">
        <v>4685</v>
      </c>
      <c r="B359" s="19" t="s">
        <v>4685</v>
      </c>
      <c r="C359" s="19" t="str">
        <f t="shared" si="5"/>
        <v>Webinar Webinar</v>
      </c>
      <c r="D359" s="19" t="s">
        <v>1489</v>
      </c>
      <c r="E359" s="19" t="s">
        <v>1503</v>
      </c>
      <c r="F359" s="19" t="s">
        <v>4</v>
      </c>
      <c r="G359" s="19" t="s">
        <v>3129</v>
      </c>
      <c r="H359" s="19" t="s">
        <v>1503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ht="23">
      <c r="A360" s="19" t="s">
        <v>4685</v>
      </c>
      <c r="B360" s="19" t="s">
        <v>4685</v>
      </c>
      <c r="C360" s="19" t="str">
        <f t="shared" si="5"/>
        <v>Webinar Webinar</v>
      </c>
      <c r="D360" s="19" t="s">
        <v>1489</v>
      </c>
      <c r="E360" s="19" t="s">
        <v>1503</v>
      </c>
      <c r="F360" s="19" t="s">
        <v>4</v>
      </c>
      <c r="G360" s="19" t="s">
        <v>3130</v>
      </c>
      <c r="H360" s="19" t="s">
        <v>1503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ht="23">
      <c r="A361" s="19" t="s">
        <v>4685</v>
      </c>
      <c r="B361" s="19" t="s">
        <v>4685</v>
      </c>
      <c r="C361" s="19" t="str">
        <f t="shared" si="5"/>
        <v>Webinar Webinar</v>
      </c>
      <c r="D361" s="19" t="s">
        <v>1489</v>
      </c>
      <c r="E361" s="19" t="s">
        <v>1503</v>
      </c>
      <c r="F361" s="19" t="s">
        <v>4</v>
      </c>
      <c r="G361" s="19" t="s">
        <v>3131</v>
      </c>
      <c r="H361" s="19" t="s">
        <v>1503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ht="23">
      <c r="A362" s="19" t="s">
        <v>4685</v>
      </c>
      <c r="B362" s="19" t="s">
        <v>4685</v>
      </c>
      <c r="C362" s="19" t="str">
        <f t="shared" si="5"/>
        <v>Webinar Webinar</v>
      </c>
      <c r="D362" s="19" t="s">
        <v>1489</v>
      </c>
      <c r="E362" s="19" t="s">
        <v>1503</v>
      </c>
      <c r="F362" s="19" t="s">
        <v>4</v>
      </c>
      <c r="G362" s="19" t="s">
        <v>3132</v>
      </c>
      <c r="H362" s="19" t="s">
        <v>1503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ht="23">
      <c r="A363" s="19" t="s">
        <v>4685</v>
      </c>
      <c r="B363" s="19" t="s">
        <v>4685</v>
      </c>
      <c r="C363" s="19" t="str">
        <f t="shared" si="5"/>
        <v>Webinar Webinar</v>
      </c>
      <c r="D363" s="19" t="s">
        <v>1489</v>
      </c>
      <c r="E363" s="19" t="s">
        <v>1503</v>
      </c>
      <c r="F363" s="19" t="s">
        <v>4</v>
      </c>
      <c r="G363" s="19" t="s">
        <v>3117</v>
      </c>
      <c r="H363" s="19" t="s">
        <v>1503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ht="23">
      <c r="A364" s="19" t="s">
        <v>4685</v>
      </c>
      <c r="B364" s="19" t="s">
        <v>4685</v>
      </c>
      <c r="C364" s="19" t="str">
        <f t="shared" si="5"/>
        <v>Webinar Webinar</v>
      </c>
      <c r="D364" s="19" t="s">
        <v>1489</v>
      </c>
      <c r="E364" s="19" t="s">
        <v>1503</v>
      </c>
      <c r="F364" s="19" t="s">
        <v>4</v>
      </c>
      <c r="G364" s="19" t="s">
        <v>3123</v>
      </c>
      <c r="H364" s="19" t="s">
        <v>1503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ht="23">
      <c r="A365" s="19" t="s">
        <v>4685</v>
      </c>
      <c r="B365" s="19" t="s">
        <v>4685</v>
      </c>
      <c r="C365" s="19" t="str">
        <f t="shared" si="5"/>
        <v>Webinar Webinar</v>
      </c>
      <c r="D365" s="19" t="s">
        <v>1489</v>
      </c>
      <c r="E365" s="19" t="s">
        <v>1503</v>
      </c>
      <c r="F365" s="19" t="s">
        <v>4</v>
      </c>
      <c r="G365" s="19" t="s">
        <v>3133</v>
      </c>
      <c r="H365" s="19" t="s">
        <v>1503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ht="12.5">
      <c r="A366" s="19" t="s">
        <v>3817</v>
      </c>
      <c r="B366" s="19" t="s">
        <v>2071</v>
      </c>
      <c r="C366" s="19" t="str">
        <f t="shared" si="5"/>
        <v>Annie Chia</v>
      </c>
      <c r="D366" s="19" t="s">
        <v>1489</v>
      </c>
      <c r="E366" s="19" t="s">
        <v>3134</v>
      </c>
      <c r="F366" s="19" t="s">
        <v>4</v>
      </c>
      <c r="G366" s="19" t="s">
        <v>3135</v>
      </c>
      <c r="H366" s="19" t="s">
        <v>3136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ht="12.5">
      <c r="A367" s="19" t="s">
        <v>4465</v>
      </c>
      <c r="B367" s="19" t="s">
        <v>1503</v>
      </c>
      <c r="C367" s="19" t="str">
        <f t="shared" si="5"/>
        <v>Yen -</v>
      </c>
      <c r="D367" s="19" t="s">
        <v>1489</v>
      </c>
      <c r="E367" s="19" t="s">
        <v>3137</v>
      </c>
      <c r="F367" s="19" t="s">
        <v>4</v>
      </c>
      <c r="G367" s="20" t="s">
        <v>3138</v>
      </c>
      <c r="H367" s="19">
        <v>97451759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ht="23">
      <c r="A368" s="19" t="s">
        <v>4433</v>
      </c>
      <c r="B368" s="19" t="s">
        <v>372</v>
      </c>
      <c r="C368" s="19" t="str">
        <f t="shared" si="5"/>
        <v>Jon Tan</v>
      </c>
      <c r="D368" s="19" t="s">
        <v>1489</v>
      </c>
      <c r="E368" s="19" t="s">
        <v>3139</v>
      </c>
      <c r="F368" s="19" t="s">
        <v>4</v>
      </c>
      <c r="G368" s="19" t="s">
        <v>3140</v>
      </c>
      <c r="H368" s="19" t="s">
        <v>1503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ht="12.5">
      <c r="A369" s="19" t="s">
        <v>3141</v>
      </c>
      <c r="B369" s="19" t="s">
        <v>465</v>
      </c>
      <c r="C369" s="19" t="str">
        <f t="shared" si="5"/>
        <v>Mae Wong</v>
      </c>
      <c r="D369" s="19" t="s">
        <v>1489</v>
      </c>
      <c r="E369" s="19" t="s">
        <v>3142</v>
      </c>
      <c r="F369" s="19" t="s">
        <v>4</v>
      </c>
      <c r="G369" s="19" t="s">
        <v>3143</v>
      </c>
      <c r="H369" s="19">
        <f>60125281288</f>
        <v>60125281288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ht="12.5">
      <c r="A370" s="19" t="s">
        <v>702</v>
      </c>
      <c r="B370" s="19" t="s">
        <v>1503</v>
      </c>
      <c r="C370" s="19" t="str">
        <f t="shared" si="5"/>
        <v>Lim -</v>
      </c>
      <c r="D370" s="19" t="s">
        <v>1489</v>
      </c>
      <c r="E370" s="19" t="s">
        <v>1645</v>
      </c>
      <c r="F370" s="19" t="s">
        <v>4</v>
      </c>
      <c r="G370" s="19" t="s">
        <v>842</v>
      </c>
      <c r="H370" s="19">
        <v>97451759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ht="12.5">
      <c r="A371" s="19" t="s">
        <v>1503</v>
      </c>
      <c r="B371" s="19" t="s">
        <v>1503</v>
      </c>
      <c r="C371" s="19" t="str">
        <f t="shared" si="5"/>
        <v>- -</v>
      </c>
      <c r="D371" s="19" t="s">
        <v>1489</v>
      </c>
      <c r="E371" s="19" t="s">
        <v>3144</v>
      </c>
      <c r="F371" s="19" t="s">
        <v>4</v>
      </c>
      <c r="G371" s="19" t="s">
        <v>3145</v>
      </c>
      <c r="H371" s="19" t="s">
        <v>1503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ht="12.5">
      <c r="A372" s="19" t="s">
        <v>4686</v>
      </c>
      <c r="B372" s="19" t="s">
        <v>1503</v>
      </c>
      <c r="C372" s="19" t="str">
        <f t="shared" si="5"/>
        <v>Tiimothy -</v>
      </c>
      <c r="D372" s="19" t="s">
        <v>1489</v>
      </c>
      <c r="E372" s="19" t="s">
        <v>3146</v>
      </c>
      <c r="F372" s="19" t="s">
        <v>4</v>
      </c>
      <c r="G372" s="19" t="s">
        <v>3147</v>
      </c>
      <c r="H372" s="19" t="s">
        <v>1503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ht="12.5">
      <c r="A373" s="19" t="s">
        <v>2899</v>
      </c>
      <c r="B373" s="19" t="s">
        <v>1503</v>
      </c>
      <c r="C373" s="19" t="str">
        <f t="shared" si="5"/>
        <v>Marcus -</v>
      </c>
      <c r="D373" s="19" t="s">
        <v>1489</v>
      </c>
      <c r="E373" s="19" t="s">
        <v>3148</v>
      </c>
      <c r="F373" s="19" t="s">
        <v>4</v>
      </c>
      <c r="G373" s="19" t="s">
        <v>3149</v>
      </c>
      <c r="H373" s="19" t="s">
        <v>1503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ht="12.5">
      <c r="A374" s="19" t="s">
        <v>3150</v>
      </c>
      <c r="B374" s="19" t="s">
        <v>1503</v>
      </c>
      <c r="C374" s="19" t="str">
        <f t="shared" si="5"/>
        <v>Marc -</v>
      </c>
      <c r="D374" s="19" t="s">
        <v>1489</v>
      </c>
      <c r="E374" s="19" t="s">
        <v>3151</v>
      </c>
      <c r="F374" s="19" t="s">
        <v>4</v>
      </c>
      <c r="G374" s="19" t="s">
        <v>3152</v>
      </c>
      <c r="H374" s="19" t="s">
        <v>3153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ht="12.5">
      <c r="A375" s="19" t="s">
        <v>4687</v>
      </c>
      <c r="B375" s="19" t="s">
        <v>3154</v>
      </c>
      <c r="C375" s="19" t="str">
        <f t="shared" si="5"/>
        <v>Jia Junn</v>
      </c>
      <c r="D375" s="19" t="s">
        <v>1489</v>
      </c>
      <c r="E375" s="19" t="s">
        <v>1512</v>
      </c>
      <c r="F375" s="19" t="s">
        <v>4</v>
      </c>
      <c r="G375" s="19" t="s">
        <v>3155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ht="12.5">
      <c r="A376" s="19" t="s">
        <v>2526</v>
      </c>
      <c r="B376" s="19" t="s">
        <v>3156</v>
      </c>
      <c r="C376" s="19" t="str">
        <f t="shared" si="5"/>
        <v>Jonny Candra</v>
      </c>
      <c r="D376" s="19" t="s">
        <v>1489</v>
      </c>
      <c r="E376" s="19" t="s">
        <v>842</v>
      </c>
      <c r="F376" s="19" t="s">
        <v>4</v>
      </c>
      <c r="G376" s="19" t="s">
        <v>2056</v>
      </c>
      <c r="H376" s="19">
        <v>98000293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ht="12.5">
      <c r="A377" s="19" t="s">
        <v>3669</v>
      </c>
      <c r="B377" s="19" t="s">
        <v>4776</v>
      </c>
      <c r="C377" s="19" t="str">
        <f t="shared" si="5"/>
        <v>Dave Ker</v>
      </c>
      <c r="D377" s="19" t="s">
        <v>1489</v>
      </c>
      <c r="E377" s="19" t="s">
        <v>3157</v>
      </c>
      <c r="F377" s="19" t="s">
        <v>4</v>
      </c>
      <c r="G377" s="19" t="s">
        <v>3158</v>
      </c>
      <c r="H377" s="19" t="s">
        <v>1503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ht="12.5">
      <c r="A378" s="19" t="s">
        <v>4688</v>
      </c>
      <c r="B378" s="19" t="s">
        <v>3160</v>
      </c>
      <c r="C378" s="19" t="str">
        <f t="shared" si="5"/>
        <v>Walaku SG</v>
      </c>
      <c r="D378" s="19" t="s">
        <v>1489</v>
      </c>
      <c r="E378" s="19" t="s">
        <v>3159</v>
      </c>
      <c r="F378" s="19" t="s">
        <v>4</v>
      </c>
      <c r="G378" s="19" t="s">
        <v>3161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ht="12.5">
      <c r="A379" s="19" t="s">
        <v>1497</v>
      </c>
      <c r="B379" s="19" t="s">
        <v>372</v>
      </c>
      <c r="C379" s="19" t="str">
        <f t="shared" si="5"/>
        <v>Valerie Tan</v>
      </c>
      <c r="D379" s="19" t="s">
        <v>1489</v>
      </c>
      <c r="E379" s="19" t="s">
        <v>3162</v>
      </c>
      <c r="F379" s="19" t="s">
        <v>4</v>
      </c>
      <c r="G379" s="19" t="s">
        <v>3163</v>
      </c>
      <c r="H379" s="19" t="s">
        <v>1503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ht="12.5">
      <c r="A380" s="19" t="s">
        <v>4689</v>
      </c>
      <c r="B380" s="19" t="s">
        <v>1503</v>
      </c>
      <c r="C380" s="19" t="str">
        <f t="shared" si="5"/>
        <v>Ibrahim -</v>
      </c>
      <c r="D380" s="19" t="s">
        <v>1489</v>
      </c>
      <c r="E380" s="19" t="s">
        <v>3164</v>
      </c>
      <c r="F380" s="19" t="s">
        <v>4</v>
      </c>
      <c r="G380" s="19" t="s">
        <v>3165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ht="23">
      <c r="A381" s="19" t="s">
        <v>4690</v>
      </c>
      <c r="B381" s="19" t="s">
        <v>1503</v>
      </c>
      <c r="C381" s="19" t="str">
        <f t="shared" si="5"/>
        <v>Zhen -</v>
      </c>
      <c r="D381" s="19" t="s">
        <v>1489</v>
      </c>
      <c r="E381" s="19" t="s">
        <v>3166</v>
      </c>
      <c r="F381" s="19" t="s">
        <v>4</v>
      </c>
      <c r="G381" s="19" t="s">
        <v>3167</v>
      </c>
      <c r="H381" s="19" t="s">
        <v>3168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ht="12.5">
      <c r="A382" s="19" t="s">
        <v>3169</v>
      </c>
      <c r="B382" s="19" t="s">
        <v>1503</v>
      </c>
      <c r="C382" s="19" t="str">
        <f t="shared" si="5"/>
        <v>JO -</v>
      </c>
      <c r="D382" s="19" t="s">
        <v>1489</v>
      </c>
      <c r="E382" s="19" t="s">
        <v>1512</v>
      </c>
      <c r="F382" s="19" t="s">
        <v>4</v>
      </c>
      <c r="G382" s="19" t="s">
        <v>1503</v>
      </c>
      <c r="H382" s="19">
        <v>87103274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ht="12.5">
      <c r="A383" s="19" t="s">
        <v>1503</v>
      </c>
      <c r="B383" s="19" t="s">
        <v>1503</v>
      </c>
      <c r="C383" s="19" t="str">
        <f t="shared" si="5"/>
        <v>- -</v>
      </c>
      <c r="D383" s="19" t="s">
        <v>1489</v>
      </c>
      <c r="E383" s="19" t="s">
        <v>3170</v>
      </c>
      <c r="F383" s="19" t="s">
        <v>4</v>
      </c>
      <c r="G383" s="19" t="s">
        <v>1503</v>
      </c>
      <c r="H383" s="19">
        <v>87503193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ht="34.5">
      <c r="A384" s="19" t="s">
        <v>1161</v>
      </c>
      <c r="B384" s="19" t="s">
        <v>4777</v>
      </c>
      <c r="C384" s="19" t="str">
        <f t="shared" si="5"/>
        <v>Eugene Ho</v>
      </c>
      <c r="D384" s="19" t="s">
        <v>1489</v>
      </c>
      <c r="E384" s="19" t="s">
        <v>3171</v>
      </c>
      <c r="F384" s="19" t="s">
        <v>4</v>
      </c>
      <c r="G384" s="19" t="s">
        <v>3172</v>
      </c>
      <c r="H384" s="19" t="s">
        <v>1493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ht="12.5">
      <c r="A385" s="19" t="s">
        <v>4691</v>
      </c>
      <c r="B385" s="19" t="s">
        <v>372</v>
      </c>
      <c r="C385" s="19" t="str">
        <f t="shared" si="5"/>
        <v>christina Tan</v>
      </c>
      <c r="D385" s="19" t="s">
        <v>1489</v>
      </c>
      <c r="E385" s="19" t="s">
        <v>3173</v>
      </c>
      <c r="F385" s="19" t="s">
        <v>4</v>
      </c>
      <c r="G385" s="19" t="s">
        <v>3174</v>
      </c>
      <c r="H385" s="19">
        <v>92248663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ht="12.5">
      <c r="A386" s="19" t="s">
        <v>2533</v>
      </c>
      <c r="B386" s="19" t="s">
        <v>1503</v>
      </c>
      <c r="C386" s="19" t="str">
        <f t="shared" si="5"/>
        <v>Jo -</v>
      </c>
      <c r="D386" s="19" t="s">
        <v>1489</v>
      </c>
      <c r="E386" s="19" t="s">
        <v>1512</v>
      </c>
      <c r="F386" s="19" t="s">
        <v>4</v>
      </c>
      <c r="G386" s="19"/>
      <c r="H386" s="19">
        <v>91441718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ht="34.5">
      <c r="A387" s="19" t="s">
        <v>4692</v>
      </c>
      <c r="B387" s="19" t="s">
        <v>4778</v>
      </c>
      <c r="C387" s="19" t="str">
        <f t="shared" ref="C387:C450" si="6">_xlfn.CONCAT(A387," ",B387)</f>
        <v>Sunil Hegde</v>
      </c>
      <c r="D387" s="19" t="s">
        <v>1489</v>
      </c>
      <c r="E387" s="19" t="s">
        <v>3175</v>
      </c>
      <c r="F387" s="19" t="s">
        <v>4</v>
      </c>
      <c r="G387" s="19" t="s">
        <v>3176</v>
      </c>
      <c r="H387" s="19">
        <v>9322212481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ht="23">
      <c r="A388" s="19" t="s">
        <v>698</v>
      </c>
      <c r="B388" s="19" t="s">
        <v>4779</v>
      </c>
      <c r="C388" s="19" t="str">
        <f t="shared" si="6"/>
        <v>Lau Kang Yang</v>
      </c>
      <c r="D388" s="19" t="s">
        <v>1489</v>
      </c>
      <c r="E388" s="19" t="s">
        <v>3177</v>
      </c>
      <c r="F388" s="19" t="s">
        <v>4</v>
      </c>
      <c r="G388" s="19" t="s">
        <v>3178</v>
      </c>
      <c r="H388" s="19">
        <v>96273271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ht="23">
      <c r="A389" s="19" t="s">
        <v>4693</v>
      </c>
      <c r="B389" s="19" t="s">
        <v>4780</v>
      </c>
      <c r="C389" s="19" t="str">
        <f t="shared" si="6"/>
        <v>arnau Onrubia</v>
      </c>
      <c r="D389" s="19" t="s">
        <v>1489</v>
      </c>
      <c r="E389" s="19" t="s">
        <v>3179</v>
      </c>
      <c r="F389" s="19" t="s">
        <v>4</v>
      </c>
      <c r="G389" s="19" t="s">
        <v>3180</v>
      </c>
      <c r="H389" s="19">
        <f>6584198487</f>
        <v>6584198487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ht="12.5">
      <c r="A390" s="19" t="s">
        <v>437</v>
      </c>
      <c r="B390" s="19" t="s">
        <v>4394</v>
      </c>
      <c r="C390" s="19" t="str">
        <f t="shared" si="6"/>
        <v xml:space="preserve">Brian </v>
      </c>
      <c r="D390" s="19" t="s">
        <v>1489</v>
      </c>
      <c r="E390" s="19" t="s">
        <v>3181</v>
      </c>
      <c r="F390" s="19" t="s">
        <v>4</v>
      </c>
      <c r="G390" s="20" t="s">
        <v>3182</v>
      </c>
      <c r="H390" s="19" t="s">
        <v>1503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ht="23">
      <c r="A391" s="19" t="s">
        <v>1007</v>
      </c>
      <c r="B391" s="19" t="s">
        <v>1503</v>
      </c>
      <c r="C391" s="19" t="str">
        <f t="shared" si="6"/>
        <v>Kevin -</v>
      </c>
      <c r="D391" s="19" t="s">
        <v>1489</v>
      </c>
      <c r="E391" s="19" t="s">
        <v>3183</v>
      </c>
      <c r="F391" s="19" t="s">
        <v>4</v>
      </c>
      <c r="G391" s="19" t="s">
        <v>3184</v>
      </c>
      <c r="H391" s="19">
        <v>93635832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ht="23">
      <c r="A392" s="19" t="s">
        <v>4694</v>
      </c>
      <c r="B392" s="19" t="s">
        <v>4781</v>
      </c>
      <c r="C392" s="19" t="str">
        <f t="shared" si="6"/>
        <v>Christine Khanshat</v>
      </c>
      <c r="D392" s="19" t="s">
        <v>1489</v>
      </c>
      <c r="E392" s="19" t="s">
        <v>3185</v>
      </c>
      <c r="F392" s="19" t="s">
        <v>4</v>
      </c>
      <c r="G392" s="19" t="s">
        <v>3186</v>
      </c>
      <c r="H392" s="19" t="s">
        <v>3187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ht="12.5">
      <c r="A393" s="19" t="s">
        <v>4695</v>
      </c>
      <c r="B393" s="19" t="s">
        <v>372</v>
      </c>
      <c r="C393" s="19" t="str">
        <f t="shared" si="6"/>
        <v>Renyi Tan</v>
      </c>
      <c r="D393" s="19" t="s">
        <v>1489</v>
      </c>
      <c r="E393" s="19" t="s">
        <v>3188</v>
      </c>
      <c r="F393" s="19" t="s">
        <v>4</v>
      </c>
      <c r="G393" s="19" t="s">
        <v>3189</v>
      </c>
      <c r="H393" s="19">
        <v>98356716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ht="23">
      <c r="A394" s="19" t="s">
        <v>4696</v>
      </c>
      <c r="B394" s="19" t="s">
        <v>4782</v>
      </c>
      <c r="C394" s="19" t="str">
        <f t="shared" si="6"/>
        <v>Naomi Bakesh</v>
      </c>
      <c r="D394" s="19" t="s">
        <v>1489</v>
      </c>
      <c r="E394" s="19" t="s">
        <v>3190</v>
      </c>
      <c r="F394" s="19" t="s">
        <v>4</v>
      </c>
      <c r="G394" s="19" t="s">
        <v>3191</v>
      </c>
      <c r="H394" s="19">
        <v>93213688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ht="12.5">
      <c r="A395" s="19" t="s">
        <v>4697</v>
      </c>
      <c r="B395" s="19" t="s">
        <v>1503</v>
      </c>
      <c r="C395" s="19" t="str">
        <f t="shared" si="6"/>
        <v>TB -</v>
      </c>
      <c r="D395" s="19" t="s">
        <v>1489</v>
      </c>
      <c r="E395" s="19" t="s">
        <v>3192</v>
      </c>
      <c r="F395" s="19" t="s">
        <v>4</v>
      </c>
      <c r="G395" s="19" t="s">
        <v>3193</v>
      </c>
      <c r="H395" s="19" t="s">
        <v>1493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ht="12.5">
      <c r="A396" s="19" t="s">
        <v>4698</v>
      </c>
      <c r="B396" s="19" t="s">
        <v>372</v>
      </c>
      <c r="C396" s="19" t="str">
        <f t="shared" si="6"/>
        <v>Endarmin Tan</v>
      </c>
      <c r="D396" s="19" t="s">
        <v>1489</v>
      </c>
      <c r="E396" s="19" t="s">
        <v>1493</v>
      </c>
      <c r="F396" s="19" t="s">
        <v>4</v>
      </c>
      <c r="G396" s="19" t="s">
        <v>3194</v>
      </c>
      <c r="H396" s="19" t="s">
        <v>1493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ht="12.5">
      <c r="A397" s="19" t="s">
        <v>4699</v>
      </c>
      <c r="B397" s="19" t="s">
        <v>1503</v>
      </c>
      <c r="C397" s="19" t="str">
        <f t="shared" si="6"/>
        <v>Sid -</v>
      </c>
      <c r="D397" s="19" t="s">
        <v>1489</v>
      </c>
      <c r="E397" s="19" t="s">
        <v>1527</v>
      </c>
      <c r="F397" s="19" t="s">
        <v>4</v>
      </c>
      <c r="G397" s="19" t="s">
        <v>3195</v>
      </c>
      <c r="H397" s="19" t="s">
        <v>1493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ht="12.5">
      <c r="A398" s="19" t="s">
        <v>4700</v>
      </c>
      <c r="B398" s="19" t="s">
        <v>3196</v>
      </c>
      <c r="C398" s="19" t="str">
        <f t="shared" si="6"/>
        <v>Loo Lian Wee</v>
      </c>
      <c r="D398" s="19" t="s">
        <v>1489</v>
      </c>
      <c r="E398" s="19" t="s">
        <v>3197</v>
      </c>
      <c r="F398" s="19" t="s">
        <v>4</v>
      </c>
      <c r="G398" s="19" t="s">
        <v>3198</v>
      </c>
      <c r="H398" s="19">
        <v>9380191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ht="12.5">
      <c r="A399" s="19" t="s">
        <v>4701</v>
      </c>
      <c r="B399" s="19" t="s">
        <v>4783</v>
      </c>
      <c r="C399" s="19" t="str">
        <f t="shared" si="6"/>
        <v>Elliot J Sam</v>
      </c>
      <c r="D399" s="19" t="s">
        <v>1489</v>
      </c>
      <c r="E399" s="19" t="s">
        <v>3199</v>
      </c>
      <c r="F399" s="19" t="s">
        <v>4</v>
      </c>
      <c r="G399" s="19" t="s">
        <v>3200</v>
      </c>
      <c r="H399" s="19">
        <v>83824499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ht="23">
      <c r="A400" s="19" t="s">
        <v>4702</v>
      </c>
      <c r="B400" s="19" t="s">
        <v>878</v>
      </c>
      <c r="C400" s="19" t="str">
        <f t="shared" si="6"/>
        <v>Calvin Koh</v>
      </c>
      <c r="D400" s="19" t="s">
        <v>1489</v>
      </c>
      <c r="E400" s="19" t="s">
        <v>3201</v>
      </c>
      <c r="F400" s="19" t="s">
        <v>4</v>
      </c>
      <c r="G400" s="19" t="s">
        <v>3202</v>
      </c>
      <c r="H400" s="19">
        <v>91442898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ht="12.5">
      <c r="A401" s="19" t="s">
        <v>4703</v>
      </c>
      <c r="B401" s="19" t="s">
        <v>1503</v>
      </c>
      <c r="C401" s="19" t="str">
        <f t="shared" si="6"/>
        <v>Junyang -</v>
      </c>
      <c r="D401" s="19" t="s">
        <v>1489</v>
      </c>
      <c r="E401" s="19" t="s">
        <v>3203</v>
      </c>
      <c r="F401" s="19" t="s">
        <v>4</v>
      </c>
      <c r="G401" s="19" t="s">
        <v>2812</v>
      </c>
      <c r="H401" s="19">
        <v>94521713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ht="12.5">
      <c r="A402" s="19" t="s">
        <v>932</v>
      </c>
      <c r="B402" s="19" t="s">
        <v>4394</v>
      </c>
      <c r="C402" s="19" t="str">
        <f t="shared" si="6"/>
        <v xml:space="preserve">Amanda </v>
      </c>
      <c r="D402" s="19" t="s">
        <v>1489</v>
      </c>
      <c r="E402" s="19" t="s">
        <v>3204</v>
      </c>
      <c r="F402" s="19" t="s">
        <v>4</v>
      </c>
      <c r="G402" s="19" t="s">
        <v>3205</v>
      </c>
      <c r="H402" s="19" t="s">
        <v>2812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ht="23">
      <c r="A403" s="19" t="s">
        <v>4704</v>
      </c>
      <c r="B403" s="19" t="s">
        <v>4394</v>
      </c>
      <c r="C403" s="19" t="str">
        <f t="shared" si="6"/>
        <v xml:space="preserve">Donovan </v>
      </c>
      <c r="D403" s="19" t="s">
        <v>1489</v>
      </c>
      <c r="E403" s="19" t="s">
        <v>3206</v>
      </c>
      <c r="F403" s="19" t="s">
        <v>4</v>
      </c>
      <c r="G403" s="19" t="s">
        <v>3207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ht="12.5">
      <c r="A404" s="19" t="s">
        <v>842</v>
      </c>
      <c r="B404" s="19" t="s">
        <v>4394</v>
      </c>
      <c r="C404" s="19" t="str">
        <f t="shared" si="6"/>
        <v xml:space="preserve">NA </v>
      </c>
      <c r="D404" s="19" t="s">
        <v>1489</v>
      </c>
      <c r="E404" s="19" t="s">
        <v>1512</v>
      </c>
      <c r="F404" s="19" t="s">
        <v>4</v>
      </c>
      <c r="G404" s="19" t="s">
        <v>1527</v>
      </c>
      <c r="H404" s="19" t="s">
        <v>3208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ht="23">
      <c r="A405" s="19" t="s">
        <v>1100</v>
      </c>
      <c r="B405" s="19" t="s">
        <v>1008</v>
      </c>
      <c r="C405" s="19" t="str">
        <f t="shared" si="6"/>
        <v>Jerome Choo</v>
      </c>
      <c r="D405" s="19" t="s">
        <v>1489</v>
      </c>
      <c r="E405" s="19" t="s">
        <v>3209</v>
      </c>
      <c r="F405" s="19" t="s">
        <v>4</v>
      </c>
      <c r="G405" s="19" t="s">
        <v>1493</v>
      </c>
      <c r="H405" s="19" t="s">
        <v>1493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ht="23">
      <c r="A406" s="19" t="s">
        <v>1170</v>
      </c>
      <c r="B406" s="19" t="s">
        <v>907</v>
      </c>
      <c r="C406" s="19" t="str">
        <f t="shared" si="6"/>
        <v>Simon Goh</v>
      </c>
      <c r="D406" s="19" t="s">
        <v>1489</v>
      </c>
      <c r="E406" s="19" t="s">
        <v>3210</v>
      </c>
      <c r="F406" s="19" t="s">
        <v>4</v>
      </c>
      <c r="G406" s="19" t="s">
        <v>3211</v>
      </c>
      <c r="H406" s="19">
        <v>90168072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ht="12.5">
      <c r="A407" s="19" t="s">
        <v>1100</v>
      </c>
      <c r="B407" s="19" t="s">
        <v>1008</v>
      </c>
      <c r="C407" s="19" t="str">
        <f t="shared" si="6"/>
        <v>Jerome Choo</v>
      </c>
      <c r="D407" s="19" t="s">
        <v>1489</v>
      </c>
      <c r="E407" s="19" t="s">
        <v>3212</v>
      </c>
      <c r="F407" s="19" t="s">
        <v>4</v>
      </c>
      <c r="G407" s="19" t="s">
        <v>3213</v>
      </c>
      <c r="H407" s="19" t="s">
        <v>1493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ht="12.5">
      <c r="A408" s="19" t="s">
        <v>4705</v>
      </c>
      <c r="B408" s="19" t="s">
        <v>1503</v>
      </c>
      <c r="C408" s="19" t="str">
        <f t="shared" si="6"/>
        <v>Krishna -</v>
      </c>
      <c r="D408" s="19" t="s">
        <v>1489</v>
      </c>
      <c r="E408" s="19" t="s">
        <v>1512</v>
      </c>
      <c r="F408" s="19" t="s">
        <v>4</v>
      </c>
      <c r="G408" s="19" t="s">
        <v>1493</v>
      </c>
      <c r="H408" s="19">
        <v>94595476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ht="12.5">
      <c r="A409" s="19" t="s">
        <v>3214</v>
      </c>
      <c r="B409" s="19" t="s">
        <v>372</v>
      </c>
      <c r="C409" s="19" t="str">
        <f t="shared" si="6"/>
        <v>Venessa Tan</v>
      </c>
      <c r="D409" s="19" t="s">
        <v>1489</v>
      </c>
      <c r="E409" s="19" t="s">
        <v>3215</v>
      </c>
      <c r="F409" s="19" t="s">
        <v>4</v>
      </c>
      <c r="G409" s="20" t="s">
        <v>3216</v>
      </c>
      <c r="H409" s="19">
        <v>91797972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ht="23">
      <c r="A410" s="19" t="s">
        <v>4706</v>
      </c>
      <c r="B410" s="19" t="s">
        <v>1503</v>
      </c>
      <c r="C410" s="19" t="str">
        <f t="shared" si="6"/>
        <v>Nancy -</v>
      </c>
      <c r="D410" s="19" t="s">
        <v>1489</v>
      </c>
      <c r="E410" s="19" t="s">
        <v>3217</v>
      </c>
      <c r="F410" s="19" t="s">
        <v>4</v>
      </c>
      <c r="G410" s="19" t="s">
        <v>3218</v>
      </c>
      <c r="H410" s="19" t="s">
        <v>3219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ht="12.5">
      <c r="A411" s="19" t="s">
        <v>4707</v>
      </c>
      <c r="B411" s="19" t="s">
        <v>4394</v>
      </c>
      <c r="C411" s="19" t="str">
        <f t="shared" si="6"/>
        <v xml:space="preserve">Castel </v>
      </c>
      <c r="D411" s="19" t="s">
        <v>1489</v>
      </c>
      <c r="E411" s="19" t="s">
        <v>3220</v>
      </c>
      <c r="F411" s="19" t="s">
        <v>4</v>
      </c>
      <c r="G411" s="19" t="s">
        <v>3221</v>
      </c>
      <c r="H411" s="19" t="s">
        <v>1527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ht="23">
      <c r="A412" s="19" t="s">
        <v>4561</v>
      </c>
      <c r="B412" s="19" t="s">
        <v>4394</v>
      </c>
      <c r="C412" s="19" t="str">
        <f t="shared" si="6"/>
        <v xml:space="preserve">Jay </v>
      </c>
      <c r="D412" s="19" t="s">
        <v>1489</v>
      </c>
      <c r="E412" s="19" t="s">
        <v>3003</v>
      </c>
      <c r="F412" s="19" t="s">
        <v>4</v>
      </c>
      <c r="G412" s="19" t="s">
        <v>3222</v>
      </c>
      <c r="H412" s="19" t="s">
        <v>3223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ht="23">
      <c r="A413" s="19" t="s">
        <v>4708</v>
      </c>
      <c r="B413" s="19" t="s">
        <v>4784</v>
      </c>
      <c r="C413" s="19" t="str">
        <f t="shared" si="6"/>
        <v>Kuan Yiou</v>
      </c>
      <c r="D413" s="19" t="s">
        <v>1489</v>
      </c>
      <c r="E413" s="19" t="s">
        <v>3224</v>
      </c>
      <c r="F413" s="19" t="s">
        <v>4</v>
      </c>
      <c r="G413" s="19" t="s">
        <v>3225</v>
      </c>
      <c r="H413" s="19">
        <v>96787030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ht="34.5">
      <c r="A414" s="19" t="s">
        <v>3984</v>
      </c>
      <c r="B414" s="19" t="s">
        <v>1503</v>
      </c>
      <c r="C414" s="19" t="str">
        <f t="shared" si="6"/>
        <v>Raj -</v>
      </c>
      <c r="D414" s="19" t="s">
        <v>1489</v>
      </c>
      <c r="E414" s="19" t="s">
        <v>3226</v>
      </c>
      <c r="F414" s="19" t="s">
        <v>4</v>
      </c>
      <c r="G414" s="19" t="s">
        <v>3227</v>
      </c>
      <c r="H414" s="19" t="s">
        <v>3227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ht="46">
      <c r="A415" s="19" t="s">
        <v>4709</v>
      </c>
      <c r="B415" s="19" t="s">
        <v>4785</v>
      </c>
      <c r="C415" s="19" t="str">
        <f t="shared" si="6"/>
        <v>Keshavan Nair</v>
      </c>
      <c r="D415" s="19" t="s">
        <v>1489</v>
      </c>
      <c r="E415" s="19" t="s">
        <v>3228</v>
      </c>
      <c r="F415" s="19" t="s">
        <v>4</v>
      </c>
      <c r="G415" s="19">
        <v>94592733</v>
      </c>
      <c r="H415" s="19" t="s">
        <v>3229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ht="23">
      <c r="A416" s="19" t="s">
        <v>949</v>
      </c>
      <c r="B416" s="19" t="s">
        <v>1710</v>
      </c>
      <c r="C416" s="19" t="str">
        <f t="shared" si="6"/>
        <v>Anna NG</v>
      </c>
      <c r="D416" s="19" t="s">
        <v>1489</v>
      </c>
      <c r="E416" s="19" t="s">
        <v>3230</v>
      </c>
      <c r="F416" s="19" t="s">
        <v>4</v>
      </c>
      <c r="G416" s="19" t="s">
        <v>1527</v>
      </c>
      <c r="H416" s="19" t="s">
        <v>3231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ht="12.5">
      <c r="A417" s="19" t="s">
        <v>4710</v>
      </c>
      <c r="B417" s="19" t="s">
        <v>1503</v>
      </c>
      <c r="C417" s="19" t="str">
        <f t="shared" si="6"/>
        <v>Pauline -</v>
      </c>
      <c r="D417" s="19" t="s">
        <v>1489</v>
      </c>
      <c r="E417" s="19" t="s">
        <v>3232</v>
      </c>
      <c r="F417" s="19" t="s">
        <v>4</v>
      </c>
      <c r="G417" s="20" t="s">
        <v>3233</v>
      </c>
      <c r="H417" s="19" t="s">
        <v>1503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ht="12.5">
      <c r="A418" s="19" t="s">
        <v>4711</v>
      </c>
      <c r="B418" s="19" t="s">
        <v>854</v>
      </c>
      <c r="C418" s="19" t="str">
        <f t="shared" si="6"/>
        <v>Diane Chiang</v>
      </c>
      <c r="D418" s="19" t="s">
        <v>1489</v>
      </c>
      <c r="E418" s="19" t="s">
        <v>3234</v>
      </c>
      <c r="F418" s="19" t="s">
        <v>4</v>
      </c>
      <c r="G418" s="19" t="s">
        <v>3235</v>
      </c>
      <c r="H418" s="19">
        <v>97885550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ht="12.5">
      <c r="A419" s="19" t="s">
        <v>901</v>
      </c>
      <c r="B419" s="19" t="s">
        <v>1710</v>
      </c>
      <c r="C419" s="19" t="str">
        <f t="shared" si="6"/>
        <v>Eunice NG</v>
      </c>
      <c r="D419" s="19" t="s">
        <v>1489</v>
      </c>
      <c r="E419" s="19" t="s">
        <v>3236</v>
      </c>
      <c r="F419" s="19" t="s">
        <v>4</v>
      </c>
      <c r="G419" s="19" t="s">
        <v>3237</v>
      </c>
      <c r="H419" s="19" t="s">
        <v>1503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ht="12.5">
      <c r="A420" s="19" t="s">
        <v>2660</v>
      </c>
      <c r="B420" s="19" t="s">
        <v>482</v>
      </c>
      <c r="C420" s="19" t="str">
        <f t="shared" si="6"/>
        <v>Edmund Loh</v>
      </c>
      <c r="D420" s="19" t="s">
        <v>1489</v>
      </c>
      <c r="E420" s="19" t="s">
        <v>1493</v>
      </c>
      <c r="F420" s="19" t="s">
        <v>4</v>
      </c>
      <c r="G420" s="19" t="s">
        <v>3238</v>
      </c>
      <c r="H420" s="19">
        <v>96897608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ht="12.5">
      <c r="A421" s="19" t="s">
        <v>3327</v>
      </c>
      <c r="B421" s="19" t="s">
        <v>842</v>
      </c>
      <c r="C421" s="19" t="str">
        <f t="shared" si="6"/>
        <v>Dawn NA</v>
      </c>
      <c r="D421" s="19" t="s">
        <v>1489</v>
      </c>
      <c r="E421" s="19" t="s">
        <v>3239</v>
      </c>
      <c r="F421" s="19" t="s">
        <v>4</v>
      </c>
      <c r="G421" s="20" t="s">
        <v>3240</v>
      </c>
      <c r="H421" s="19" t="s">
        <v>3241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ht="12.5">
      <c r="A422" s="19" t="s">
        <v>1083</v>
      </c>
      <c r="B422" s="19" t="s">
        <v>4463</v>
      </c>
      <c r="C422" s="19" t="str">
        <f t="shared" si="6"/>
        <v>Hui Ching</v>
      </c>
      <c r="D422" s="19" t="s">
        <v>1489</v>
      </c>
      <c r="E422" s="19" t="s">
        <v>3242</v>
      </c>
      <c r="F422" s="19" t="s">
        <v>4</v>
      </c>
      <c r="G422" s="19" t="s">
        <v>842</v>
      </c>
      <c r="H422" s="19">
        <v>91686850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ht="23">
      <c r="A423" s="19" t="s">
        <v>4712</v>
      </c>
      <c r="B423" s="19" t="s">
        <v>1428</v>
      </c>
      <c r="C423" s="19" t="str">
        <f t="shared" si="6"/>
        <v>Shengqian Zhang</v>
      </c>
      <c r="D423" s="19" t="s">
        <v>1489</v>
      </c>
      <c r="E423" s="19" t="s">
        <v>3243</v>
      </c>
      <c r="F423" s="19" t="s">
        <v>4</v>
      </c>
      <c r="G423" s="19" t="s">
        <v>3244</v>
      </c>
      <c r="H423" s="19">
        <v>98583230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ht="12.5">
      <c r="A424" s="19" t="s">
        <v>4713</v>
      </c>
      <c r="B424" s="19" t="s">
        <v>630</v>
      </c>
      <c r="C424" s="19" t="str">
        <f t="shared" si="6"/>
        <v>Maxie Tay</v>
      </c>
      <c r="D424" s="19" t="s">
        <v>1489</v>
      </c>
      <c r="E424" s="19" t="s">
        <v>3245</v>
      </c>
      <c r="F424" s="19" t="s">
        <v>4</v>
      </c>
      <c r="G424" s="19"/>
      <c r="H424" s="19">
        <v>93216610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ht="12.5">
      <c r="A425" s="19" t="s">
        <v>4502</v>
      </c>
      <c r="B425" s="19" t="s">
        <v>4786</v>
      </c>
      <c r="C425" s="19" t="str">
        <f t="shared" si="6"/>
        <v>Johnny Teow</v>
      </c>
      <c r="D425" s="19" t="s">
        <v>1489</v>
      </c>
      <c r="E425" s="19" t="s">
        <v>3246</v>
      </c>
      <c r="F425" s="19" t="s">
        <v>4</v>
      </c>
      <c r="G425" s="19"/>
      <c r="H425" s="19">
        <v>91793971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ht="12.5">
      <c r="A426" s="19" t="s">
        <v>4714</v>
      </c>
      <c r="B426" s="19" t="s">
        <v>4787</v>
      </c>
      <c r="C426" s="19" t="str">
        <f t="shared" si="6"/>
        <v>May Kyu</v>
      </c>
      <c r="D426" s="19" t="s">
        <v>1489</v>
      </c>
      <c r="E426" s="19" t="s">
        <v>3247</v>
      </c>
      <c r="F426" s="19" t="s">
        <v>4</v>
      </c>
      <c r="G426" s="19"/>
      <c r="H426" s="19">
        <v>90705911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ht="23">
      <c r="A427" s="19" t="s">
        <v>3248</v>
      </c>
      <c r="B427" s="19" t="s">
        <v>1503</v>
      </c>
      <c r="C427" s="19" t="str">
        <f t="shared" si="6"/>
        <v>Daniela La Marca -</v>
      </c>
      <c r="D427" s="19" t="s">
        <v>1489</v>
      </c>
      <c r="E427" s="19" t="s">
        <v>3249</v>
      </c>
      <c r="F427" s="19" t="s">
        <v>4</v>
      </c>
      <c r="G427" s="19"/>
      <c r="H427" s="19" t="s">
        <v>1493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ht="12.5">
      <c r="A428" s="19" t="s">
        <v>3250</v>
      </c>
      <c r="B428" s="19" t="s">
        <v>4394</v>
      </c>
      <c r="C428" s="19" t="str">
        <f t="shared" si="6"/>
        <v xml:space="preserve">ang chong ngan </v>
      </c>
      <c r="D428" s="19" t="s">
        <v>1489</v>
      </c>
      <c r="E428" s="19" t="s">
        <v>3251</v>
      </c>
      <c r="F428" s="19" t="s">
        <v>4</v>
      </c>
      <c r="G428" s="19" t="s">
        <v>3252</v>
      </c>
      <c r="H428" s="19">
        <v>97941979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ht="23">
      <c r="A429" s="19" t="s">
        <v>3253</v>
      </c>
      <c r="B429" s="19" t="s">
        <v>4394</v>
      </c>
      <c r="C429" s="19" t="str">
        <f t="shared" si="6"/>
        <v xml:space="preserve">Anthony Ting </v>
      </c>
      <c r="D429" s="19" t="s">
        <v>1489</v>
      </c>
      <c r="E429" s="19" t="s">
        <v>3254</v>
      </c>
      <c r="F429" s="19" t="s">
        <v>4</v>
      </c>
      <c r="G429" s="19" t="s">
        <v>3255</v>
      </c>
      <c r="H429" s="19">
        <v>96725033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ht="12.5">
      <c r="A430" s="19" t="s">
        <v>453</v>
      </c>
      <c r="B430" s="19" t="s">
        <v>4394</v>
      </c>
      <c r="C430" s="19" t="str">
        <f t="shared" si="6"/>
        <v xml:space="preserve">Jessie </v>
      </c>
      <c r="D430" s="19" t="s">
        <v>1489</v>
      </c>
      <c r="E430" s="19" t="s">
        <v>3256</v>
      </c>
      <c r="F430" s="19" t="s">
        <v>4</v>
      </c>
      <c r="G430" s="19" t="s">
        <v>2670</v>
      </c>
      <c r="H430" s="19">
        <v>86557158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ht="23">
      <c r="A431" s="19" t="s">
        <v>3257</v>
      </c>
      <c r="B431" s="19" t="s">
        <v>4394</v>
      </c>
      <c r="C431" s="19" t="str">
        <f t="shared" si="6"/>
        <v xml:space="preserve">Stanley Leeansyah </v>
      </c>
      <c r="D431" s="19" t="s">
        <v>1489</v>
      </c>
      <c r="E431" s="19" t="s">
        <v>3258</v>
      </c>
      <c r="F431" s="19" t="s">
        <v>4</v>
      </c>
      <c r="G431" s="19" t="s">
        <v>3259</v>
      </c>
      <c r="H431" s="19">
        <v>81289369461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ht="23">
      <c r="A432" s="19" t="s">
        <v>3260</v>
      </c>
      <c r="B432" s="19" t="s">
        <v>4394</v>
      </c>
      <c r="C432" s="19" t="str">
        <f t="shared" si="6"/>
        <v xml:space="preserve">BETTY HENG </v>
      </c>
      <c r="D432" s="19" t="s">
        <v>1489</v>
      </c>
      <c r="E432" s="19" t="s">
        <v>3261</v>
      </c>
      <c r="F432" s="19" t="s">
        <v>4</v>
      </c>
      <c r="G432" s="19" t="s">
        <v>3262</v>
      </c>
      <c r="H432" s="19">
        <v>96680789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ht="12.5">
      <c r="A433" s="19" t="s">
        <v>3263</v>
      </c>
      <c r="B433" s="19" t="s">
        <v>4394</v>
      </c>
      <c r="C433" s="19" t="str">
        <f t="shared" si="6"/>
        <v xml:space="preserve">Peter Tan </v>
      </c>
      <c r="D433" s="19" t="s">
        <v>1489</v>
      </c>
      <c r="E433" s="19" t="s">
        <v>3264</v>
      </c>
      <c r="F433" s="19" t="s">
        <v>4</v>
      </c>
      <c r="G433" s="19" t="s">
        <v>3265</v>
      </c>
      <c r="H433" s="19">
        <v>92268003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ht="12.5">
      <c r="A434" s="19" t="s">
        <v>3266</v>
      </c>
      <c r="B434" s="19" t="s">
        <v>4394</v>
      </c>
      <c r="C434" s="19" t="str">
        <f t="shared" si="6"/>
        <v xml:space="preserve">Elisha </v>
      </c>
      <c r="D434" s="19" t="s">
        <v>1489</v>
      </c>
      <c r="E434" s="19" t="s">
        <v>842</v>
      </c>
      <c r="F434" s="19" t="s">
        <v>4</v>
      </c>
      <c r="G434" s="19" t="s">
        <v>3267</v>
      </c>
      <c r="H434" s="19">
        <v>83663660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ht="12.5">
      <c r="A435" s="19" t="s">
        <v>3268</v>
      </c>
      <c r="B435" s="19" t="s">
        <v>4394</v>
      </c>
      <c r="C435" s="19" t="str">
        <f t="shared" si="6"/>
        <v xml:space="preserve">TINA TAN </v>
      </c>
      <c r="D435" s="19" t="s">
        <v>1489</v>
      </c>
      <c r="E435" s="19" t="s">
        <v>3269</v>
      </c>
      <c r="F435" s="19" t="s">
        <v>4</v>
      </c>
      <c r="G435" s="19" t="s">
        <v>3270</v>
      </c>
      <c r="H435" s="19">
        <v>83807416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ht="12.5">
      <c r="A436" s="19" t="s">
        <v>1149</v>
      </c>
      <c r="B436" s="19" t="s">
        <v>4394</v>
      </c>
      <c r="C436" s="19" t="str">
        <f t="shared" si="6"/>
        <v xml:space="preserve">Ethan </v>
      </c>
      <c r="D436" s="19" t="s">
        <v>1489</v>
      </c>
      <c r="E436" s="19" t="s">
        <v>3271</v>
      </c>
      <c r="F436" s="19" t="s">
        <v>4</v>
      </c>
      <c r="G436" s="19" t="s">
        <v>3272</v>
      </c>
      <c r="H436" s="19">
        <v>88288500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ht="23">
      <c r="A437" s="19" t="s">
        <v>3273</v>
      </c>
      <c r="B437" s="19" t="s">
        <v>4394</v>
      </c>
      <c r="C437" s="19" t="str">
        <f t="shared" si="6"/>
        <v xml:space="preserve">Sakuwan bin Jumangin </v>
      </c>
      <c r="D437" s="19" t="s">
        <v>1489</v>
      </c>
      <c r="E437" s="19" t="s">
        <v>3274</v>
      </c>
      <c r="F437" s="19" t="s">
        <v>4</v>
      </c>
      <c r="G437" s="19" t="s">
        <v>3275</v>
      </c>
      <c r="H437" s="19">
        <v>93894301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ht="23">
      <c r="A438" s="19" t="s">
        <v>3276</v>
      </c>
      <c r="B438" s="19" t="s">
        <v>4394</v>
      </c>
      <c r="C438" s="19" t="str">
        <f t="shared" si="6"/>
        <v xml:space="preserve">Marc Ng </v>
      </c>
      <c r="D438" s="19" t="s">
        <v>1489</v>
      </c>
      <c r="E438" s="19" t="s">
        <v>3277</v>
      </c>
      <c r="F438" s="19" t="s">
        <v>4</v>
      </c>
      <c r="G438" s="19" t="s">
        <v>3278</v>
      </c>
      <c r="H438" s="19">
        <v>67933308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ht="12.5">
      <c r="A439" s="19" t="s">
        <v>3279</v>
      </c>
      <c r="B439" s="19" t="s">
        <v>4394</v>
      </c>
      <c r="C439" s="19" t="str">
        <f t="shared" si="6"/>
        <v xml:space="preserve">Charlene Heng </v>
      </c>
      <c r="D439" s="19" t="s">
        <v>1489</v>
      </c>
      <c r="E439" s="19" t="s">
        <v>3280</v>
      </c>
      <c r="F439" s="19" t="s">
        <v>4</v>
      </c>
      <c r="G439" s="19" t="s">
        <v>3281</v>
      </c>
      <c r="H439" s="19">
        <v>91342626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ht="23">
      <c r="A440" s="19" t="s">
        <v>3282</v>
      </c>
      <c r="B440" s="19" t="s">
        <v>4394</v>
      </c>
      <c r="C440" s="19" t="str">
        <f t="shared" si="6"/>
        <v xml:space="preserve">Noorul Ameen </v>
      </c>
      <c r="D440" s="19" t="s">
        <v>1489</v>
      </c>
      <c r="E440" s="19" t="s">
        <v>3283</v>
      </c>
      <c r="F440" s="19" t="s">
        <v>4</v>
      </c>
      <c r="G440" s="19" t="s">
        <v>3284</v>
      </c>
      <c r="H440" s="19">
        <v>83432499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ht="23">
      <c r="A441" s="19" t="s">
        <v>3285</v>
      </c>
      <c r="B441" s="19" t="s">
        <v>4394</v>
      </c>
      <c r="C441" s="19" t="str">
        <f t="shared" si="6"/>
        <v xml:space="preserve">Sherly Foo Chuen Eng </v>
      </c>
      <c r="D441" s="19" t="s">
        <v>1489</v>
      </c>
      <c r="E441" s="19" t="s">
        <v>3286</v>
      </c>
      <c r="F441" s="19" t="s">
        <v>4</v>
      </c>
      <c r="G441" s="19" t="s">
        <v>3287</v>
      </c>
      <c r="H441" s="19">
        <v>64291021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ht="23">
      <c r="A442" s="19" t="s">
        <v>3288</v>
      </c>
      <c r="B442" s="19" t="s">
        <v>4394</v>
      </c>
      <c r="C442" s="19" t="str">
        <f t="shared" si="6"/>
        <v xml:space="preserve">Govindasamy jayabalan </v>
      </c>
      <c r="D442" s="19" t="s">
        <v>1489</v>
      </c>
      <c r="E442" s="19" t="s">
        <v>3289</v>
      </c>
      <c r="F442" s="19" t="s">
        <v>4</v>
      </c>
      <c r="G442" s="19" t="s">
        <v>3290</v>
      </c>
      <c r="H442" s="19">
        <v>60124807830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ht="23">
      <c r="A443" s="19" t="s">
        <v>3288</v>
      </c>
      <c r="B443" s="19" t="s">
        <v>4394</v>
      </c>
      <c r="C443" s="19" t="str">
        <f t="shared" si="6"/>
        <v xml:space="preserve">Govindasamy jayabalan </v>
      </c>
      <c r="D443" s="19" t="s">
        <v>1489</v>
      </c>
      <c r="E443" s="19" t="s">
        <v>3289</v>
      </c>
      <c r="F443" s="19" t="s">
        <v>4</v>
      </c>
      <c r="G443" s="19" t="s">
        <v>3290</v>
      </c>
      <c r="H443" s="19">
        <v>60124807830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ht="23">
      <c r="A444" s="19" t="s">
        <v>3288</v>
      </c>
      <c r="B444" s="19" t="s">
        <v>4394</v>
      </c>
      <c r="C444" s="19" t="str">
        <f t="shared" si="6"/>
        <v xml:space="preserve">Govindasamy jayabalan </v>
      </c>
      <c r="D444" s="19" t="s">
        <v>1489</v>
      </c>
      <c r="E444" s="19" t="s">
        <v>3289</v>
      </c>
      <c r="F444" s="19" t="s">
        <v>4</v>
      </c>
      <c r="G444" s="19" t="s">
        <v>3290</v>
      </c>
      <c r="H444" s="19">
        <v>60124807830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ht="23">
      <c r="A445" s="19" t="s">
        <v>3291</v>
      </c>
      <c r="B445" s="19" t="s">
        <v>4394</v>
      </c>
      <c r="C445" s="19" t="str">
        <f t="shared" si="6"/>
        <v xml:space="preserve">Guan Lee Yann Judith </v>
      </c>
      <c r="D445" s="19" t="s">
        <v>1489</v>
      </c>
      <c r="E445" s="19" t="s">
        <v>3292</v>
      </c>
      <c r="F445" s="19" t="s">
        <v>4</v>
      </c>
      <c r="G445" s="19" t="s">
        <v>3293</v>
      </c>
      <c r="H445" s="19">
        <v>81885043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ht="12.5">
      <c r="A446" s="19" t="s">
        <v>3294</v>
      </c>
      <c r="B446" s="19" t="s">
        <v>4394</v>
      </c>
      <c r="C446" s="19" t="str">
        <f t="shared" si="6"/>
        <v xml:space="preserve">Beatrice Yap </v>
      </c>
      <c r="D446" s="19" t="s">
        <v>1489</v>
      </c>
      <c r="E446" s="19" t="s">
        <v>3295</v>
      </c>
      <c r="F446" s="19" t="s">
        <v>4</v>
      </c>
      <c r="G446" s="19" t="s">
        <v>3296</v>
      </c>
      <c r="H446" s="19">
        <v>84998633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ht="23">
      <c r="A447" s="19" t="s">
        <v>3297</v>
      </c>
      <c r="B447" s="19" t="s">
        <v>4394</v>
      </c>
      <c r="C447" s="19" t="str">
        <f t="shared" si="6"/>
        <v xml:space="preserve">Chua Yong Heng </v>
      </c>
      <c r="D447" s="19" t="s">
        <v>1489</v>
      </c>
      <c r="E447" s="19" t="s">
        <v>3298</v>
      </c>
      <c r="F447" s="19" t="s">
        <v>4</v>
      </c>
      <c r="G447" s="19" t="s">
        <v>3299</v>
      </c>
      <c r="H447" s="19">
        <v>96347375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ht="23">
      <c r="A448" s="19" t="s">
        <v>3300</v>
      </c>
      <c r="B448" s="19" t="s">
        <v>4394</v>
      </c>
      <c r="C448" s="19" t="str">
        <f t="shared" si="6"/>
        <v xml:space="preserve">Zames Chua Feike </v>
      </c>
      <c r="D448" s="19" t="s">
        <v>1489</v>
      </c>
      <c r="E448" s="19" t="s">
        <v>1503</v>
      </c>
      <c r="F448" s="19" t="s">
        <v>4</v>
      </c>
      <c r="G448" s="19" t="s">
        <v>3301</v>
      </c>
      <c r="H448" s="19">
        <v>6583794496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ht="23">
      <c r="A449" s="19" t="s">
        <v>3297</v>
      </c>
      <c r="B449" s="19" t="s">
        <v>4394</v>
      </c>
      <c r="C449" s="19" t="str">
        <f t="shared" si="6"/>
        <v xml:space="preserve">Chua Yong Heng </v>
      </c>
      <c r="D449" s="19" t="s">
        <v>1489</v>
      </c>
      <c r="E449" s="19" t="s">
        <v>3298</v>
      </c>
      <c r="F449" s="19" t="s">
        <v>4</v>
      </c>
      <c r="G449" s="19" t="s">
        <v>3299</v>
      </c>
      <c r="H449" s="19">
        <v>96347375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ht="23">
      <c r="A450" s="19" t="s">
        <v>3302</v>
      </c>
      <c r="B450" s="19" t="s">
        <v>4394</v>
      </c>
      <c r="C450" s="19" t="str">
        <f t="shared" si="6"/>
        <v xml:space="preserve">Sandy Heng </v>
      </c>
      <c r="D450" s="19" t="s">
        <v>1489</v>
      </c>
      <c r="E450" s="19" t="s">
        <v>3303</v>
      </c>
      <c r="F450" s="19" t="s">
        <v>4</v>
      </c>
      <c r="G450" s="19" t="s">
        <v>3304</v>
      </c>
      <c r="H450" s="19">
        <v>68999555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ht="12.5">
      <c r="A451" s="19" t="s">
        <v>3305</v>
      </c>
      <c r="B451" s="19" t="s">
        <v>4394</v>
      </c>
      <c r="C451" s="19" t="str">
        <f t="shared" ref="C451:C514" si="7">_xlfn.CONCAT(A451," ",B451)</f>
        <v xml:space="preserve">KH Koh </v>
      </c>
      <c r="D451" s="19" t="s">
        <v>1489</v>
      </c>
      <c r="E451" s="19" t="s">
        <v>3306</v>
      </c>
      <c r="F451" s="19" t="s">
        <v>4</v>
      </c>
      <c r="G451" s="19" t="s">
        <v>3307</v>
      </c>
      <c r="H451" s="19">
        <v>93809912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ht="12.5">
      <c r="A452" s="19" t="s">
        <v>702</v>
      </c>
      <c r="B452" s="19" t="s">
        <v>4394</v>
      </c>
      <c r="C452" s="19" t="str">
        <f t="shared" si="7"/>
        <v xml:space="preserve">Lim </v>
      </c>
      <c r="D452" s="19" t="s">
        <v>1489</v>
      </c>
      <c r="E452" s="19" t="s">
        <v>3308</v>
      </c>
      <c r="F452" s="19" t="s">
        <v>4</v>
      </c>
      <c r="G452" s="19" t="s">
        <v>2045</v>
      </c>
      <c r="H452" s="19">
        <v>83398649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ht="12.5">
      <c r="A453" s="19" t="s">
        <v>3309</v>
      </c>
      <c r="B453" s="19" t="s">
        <v>4394</v>
      </c>
      <c r="C453" s="19" t="str">
        <f t="shared" si="7"/>
        <v xml:space="preserve">Shaun Jarmen </v>
      </c>
      <c r="D453" s="19" t="s">
        <v>1489</v>
      </c>
      <c r="E453" s="19" t="s">
        <v>3310</v>
      </c>
      <c r="F453" s="19" t="s">
        <v>4</v>
      </c>
      <c r="G453" s="19" t="s">
        <v>3311</v>
      </c>
      <c r="H453" s="19">
        <v>6594753352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ht="23">
      <c r="A454" s="19" t="s">
        <v>3312</v>
      </c>
      <c r="B454" s="19" t="s">
        <v>4394</v>
      </c>
      <c r="C454" s="19" t="str">
        <f t="shared" si="7"/>
        <v xml:space="preserve">Jessica Tan Ai Lin </v>
      </c>
      <c r="D454" s="19" t="s">
        <v>1489</v>
      </c>
      <c r="E454" s="19" t="s">
        <v>3313</v>
      </c>
      <c r="F454" s="19" t="s">
        <v>4</v>
      </c>
      <c r="G454" s="19" t="s">
        <v>3314</v>
      </c>
      <c r="H454" s="19">
        <v>96282844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ht="12.5">
      <c r="A455" s="19" t="s">
        <v>1007</v>
      </c>
      <c r="B455" s="19" t="s">
        <v>4394</v>
      </c>
      <c r="C455" s="19" t="str">
        <f t="shared" si="7"/>
        <v xml:space="preserve">Kevin </v>
      </c>
      <c r="D455" s="19" t="s">
        <v>1489</v>
      </c>
      <c r="E455" s="19" t="s">
        <v>2647</v>
      </c>
      <c r="F455" s="19" t="s">
        <v>4</v>
      </c>
      <c r="G455" s="19" t="s">
        <v>2648</v>
      </c>
      <c r="H455" s="19">
        <v>81239899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ht="23">
      <c r="A456" s="19" t="s">
        <v>3315</v>
      </c>
      <c r="B456" s="19" t="s">
        <v>4394</v>
      </c>
      <c r="C456" s="19" t="str">
        <f t="shared" si="7"/>
        <v xml:space="preserve">MAH MUN KHONG </v>
      </c>
      <c r="D456" s="19" t="s">
        <v>1489</v>
      </c>
      <c r="E456" s="19" t="s">
        <v>3316</v>
      </c>
      <c r="F456" s="19" t="s">
        <v>4</v>
      </c>
      <c r="G456" s="19" t="s">
        <v>3317</v>
      </c>
      <c r="H456" s="19">
        <v>81819764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ht="12.5">
      <c r="A457" s="19" t="s">
        <v>3318</v>
      </c>
      <c r="B457" s="19" t="s">
        <v>4394</v>
      </c>
      <c r="C457" s="19" t="str">
        <f t="shared" si="7"/>
        <v xml:space="preserve">Bryan Zhao </v>
      </c>
      <c r="D457" s="19" t="s">
        <v>1489</v>
      </c>
      <c r="E457" s="19" t="s">
        <v>3319</v>
      </c>
      <c r="F457" s="19" t="s">
        <v>4</v>
      </c>
      <c r="G457" s="19" t="s">
        <v>3320</v>
      </c>
      <c r="H457" s="19">
        <v>6598218195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ht="23">
      <c r="A458" s="19" t="s">
        <v>3321</v>
      </c>
      <c r="B458" s="19" t="s">
        <v>4394</v>
      </c>
      <c r="C458" s="19" t="str">
        <f t="shared" si="7"/>
        <v xml:space="preserve">teresa joseph </v>
      </c>
      <c r="D458" s="19" t="s">
        <v>1489</v>
      </c>
      <c r="E458" s="19" t="s">
        <v>3322</v>
      </c>
      <c r="F458" s="19" t="s">
        <v>4</v>
      </c>
      <c r="G458" s="19" t="s">
        <v>3323</v>
      </c>
      <c r="H458" s="19">
        <v>6591005612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ht="12.5">
      <c r="A459" s="19" t="s">
        <v>3324</v>
      </c>
      <c r="B459" s="19" t="s">
        <v>4394</v>
      </c>
      <c r="C459" s="19" t="str">
        <f t="shared" si="7"/>
        <v xml:space="preserve">Roger </v>
      </c>
      <c r="D459" s="19" t="s">
        <v>1489</v>
      </c>
      <c r="E459" s="19" t="s">
        <v>3325</v>
      </c>
      <c r="F459" s="19" t="s">
        <v>4</v>
      </c>
      <c r="G459" s="19" t="s">
        <v>3326</v>
      </c>
      <c r="H459" s="19">
        <v>61004149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ht="23">
      <c r="A460" s="19" t="s">
        <v>3327</v>
      </c>
      <c r="B460" s="19" t="s">
        <v>4394</v>
      </c>
      <c r="C460" s="19" t="str">
        <f t="shared" si="7"/>
        <v xml:space="preserve">Dawn </v>
      </c>
      <c r="D460" s="19" t="s">
        <v>1489</v>
      </c>
      <c r="E460" s="19" t="s">
        <v>3328</v>
      </c>
      <c r="F460" s="19" t="s">
        <v>4</v>
      </c>
      <c r="G460" s="19" t="s">
        <v>3329</v>
      </c>
      <c r="H460" s="19">
        <v>97474071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ht="23">
      <c r="A461" s="19" t="s">
        <v>3253</v>
      </c>
      <c r="B461" s="19" t="s">
        <v>4394</v>
      </c>
      <c r="C461" s="19" t="str">
        <f t="shared" si="7"/>
        <v xml:space="preserve">Anthony Ting </v>
      </c>
      <c r="D461" s="19" t="s">
        <v>1489</v>
      </c>
      <c r="E461" s="19" t="s">
        <v>3254</v>
      </c>
      <c r="F461" s="19" t="s">
        <v>4</v>
      </c>
      <c r="G461" s="19" t="s">
        <v>3255</v>
      </c>
      <c r="H461" s="19">
        <v>96725033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ht="12.5">
      <c r="A462" s="19" t="s">
        <v>3330</v>
      </c>
      <c r="B462" s="19" t="s">
        <v>4394</v>
      </c>
      <c r="C462" s="19" t="str">
        <f t="shared" si="7"/>
        <v xml:space="preserve">Kathleen Koh </v>
      </c>
      <c r="D462" s="19" t="s">
        <v>1489</v>
      </c>
      <c r="E462" s="19" t="s">
        <v>3331</v>
      </c>
      <c r="F462" s="19" t="s">
        <v>4</v>
      </c>
      <c r="G462" s="19" t="s">
        <v>3332</v>
      </c>
      <c r="H462" s="19">
        <v>87958787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ht="12.5">
      <c r="A463" s="19" t="s">
        <v>3250</v>
      </c>
      <c r="B463" s="19" t="s">
        <v>4394</v>
      </c>
      <c r="C463" s="19" t="str">
        <f t="shared" si="7"/>
        <v xml:space="preserve">ang chong ngan </v>
      </c>
      <c r="D463" s="19" t="s">
        <v>1489</v>
      </c>
      <c r="E463" s="19" t="s">
        <v>3333</v>
      </c>
      <c r="F463" s="19" t="s">
        <v>4</v>
      </c>
      <c r="G463" s="19" t="s">
        <v>3252</v>
      </c>
      <c r="H463" s="19">
        <v>83696499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ht="23">
      <c r="A464" s="19" t="s">
        <v>352</v>
      </c>
      <c r="B464" s="19" t="s">
        <v>4394</v>
      </c>
      <c r="C464" s="19" t="str">
        <f t="shared" si="7"/>
        <v xml:space="preserve">LIM </v>
      </c>
      <c r="D464" s="19" t="s">
        <v>1489</v>
      </c>
      <c r="E464" s="19" t="s">
        <v>3334</v>
      </c>
      <c r="F464" s="19" t="s">
        <v>4</v>
      </c>
      <c r="G464" s="19" t="s">
        <v>3335</v>
      </c>
      <c r="H464" s="19">
        <v>83398649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ht="12.5">
      <c r="A465" s="19" t="s">
        <v>3336</v>
      </c>
      <c r="B465" s="19" t="s">
        <v>4394</v>
      </c>
      <c r="C465" s="19" t="str">
        <f t="shared" si="7"/>
        <v xml:space="preserve">Melvin ong </v>
      </c>
      <c r="D465" s="19" t="s">
        <v>1489</v>
      </c>
      <c r="E465" s="19" t="s">
        <v>3337</v>
      </c>
      <c r="F465" s="19" t="s">
        <v>4</v>
      </c>
      <c r="G465" s="19" t="s">
        <v>3338</v>
      </c>
      <c r="H465" s="19">
        <v>87671874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ht="12.5">
      <c r="A466" s="19" t="s">
        <v>3339</v>
      </c>
      <c r="B466" s="19" t="s">
        <v>4394</v>
      </c>
      <c r="C466" s="19" t="str">
        <f t="shared" si="7"/>
        <v xml:space="preserve">Basir Amir </v>
      </c>
      <c r="D466" s="19" t="s">
        <v>1489</v>
      </c>
      <c r="E466" s="19" t="s">
        <v>3340</v>
      </c>
      <c r="F466" s="19" t="s">
        <v>4</v>
      </c>
      <c r="G466" s="19" t="s">
        <v>3341</v>
      </c>
      <c r="H466" s="19">
        <v>90909548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ht="23">
      <c r="A467" s="19" t="s">
        <v>3342</v>
      </c>
      <c r="B467" s="19" t="s">
        <v>4394</v>
      </c>
      <c r="C467" s="19" t="str">
        <f t="shared" si="7"/>
        <v xml:space="preserve">gabriel kek meng chuan </v>
      </c>
      <c r="D467" s="19" t="s">
        <v>1489</v>
      </c>
      <c r="E467" s="19" t="s">
        <v>3343</v>
      </c>
      <c r="F467" s="19" t="s">
        <v>4</v>
      </c>
      <c r="G467" s="19" t="s">
        <v>3344</v>
      </c>
      <c r="H467" s="19">
        <v>97862006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ht="12.5">
      <c r="A468" s="19" t="s">
        <v>3345</v>
      </c>
      <c r="B468" s="19" t="s">
        <v>4394</v>
      </c>
      <c r="C468" s="19" t="str">
        <f t="shared" si="7"/>
        <v xml:space="preserve">Hazel Hok </v>
      </c>
      <c r="D468" s="19" t="s">
        <v>1489</v>
      </c>
      <c r="E468" s="19" t="s">
        <v>3346</v>
      </c>
      <c r="F468" s="19" t="s">
        <v>4</v>
      </c>
      <c r="G468" s="19" t="s">
        <v>2560</v>
      </c>
      <c r="H468" s="19">
        <v>96540767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ht="12.5">
      <c r="A469" s="19" t="s">
        <v>3347</v>
      </c>
      <c r="B469" s="19" t="s">
        <v>4394</v>
      </c>
      <c r="C469" s="19" t="str">
        <f t="shared" si="7"/>
        <v xml:space="preserve">Kim Tan </v>
      </c>
      <c r="D469" s="19" t="s">
        <v>1489</v>
      </c>
      <c r="E469" s="19" t="s">
        <v>3348</v>
      </c>
      <c r="F469" s="19" t="s">
        <v>4</v>
      </c>
      <c r="G469" s="19" t="s">
        <v>3349</v>
      </c>
      <c r="H469" s="19">
        <v>91861180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ht="23">
      <c r="A470" s="19" t="s">
        <v>3350</v>
      </c>
      <c r="B470" s="19" t="s">
        <v>4394</v>
      </c>
      <c r="C470" s="19" t="str">
        <f t="shared" si="7"/>
        <v xml:space="preserve">Tan Jue Ni </v>
      </c>
      <c r="D470" s="19" t="s">
        <v>1489</v>
      </c>
      <c r="E470" s="19" t="s">
        <v>3351</v>
      </c>
      <c r="F470" s="19" t="s">
        <v>4</v>
      </c>
      <c r="G470" s="19" t="s">
        <v>3352</v>
      </c>
      <c r="H470" s="19">
        <v>92335336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ht="23">
      <c r="A471" s="19" t="s">
        <v>3353</v>
      </c>
      <c r="B471" s="19" t="s">
        <v>4394</v>
      </c>
      <c r="C471" s="19" t="str">
        <f t="shared" si="7"/>
        <v xml:space="preserve">HAN BIAO </v>
      </c>
      <c r="D471" s="19" t="s">
        <v>1489</v>
      </c>
      <c r="E471" s="19" t="s">
        <v>3354</v>
      </c>
      <c r="F471" s="19" t="s">
        <v>4</v>
      </c>
      <c r="G471" s="19" t="s">
        <v>3355</v>
      </c>
      <c r="H471" s="19">
        <v>98360249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ht="12.5">
      <c r="A472" s="19" t="s">
        <v>3356</v>
      </c>
      <c r="B472" s="19" t="s">
        <v>4394</v>
      </c>
      <c r="C472" s="19" t="str">
        <f t="shared" si="7"/>
        <v xml:space="preserve">Tan Wei Kang </v>
      </c>
      <c r="D472" s="19" t="s">
        <v>1489</v>
      </c>
      <c r="E472" s="19" t="s">
        <v>3357</v>
      </c>
      <c r="F472" s="19" t="s">
        <v>4</v>
      </c>
      <c r="G472" s="19" t="s">
        <v>3116</v>
      </c>
      <c r="H472" s="19">
        <v>97558771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ht="12.5">
      <c r="A473" s="19" t="s">
        <v>3358</v>
      </c>
      <c r="B473" s="19" t="s">
        <v>4394</v>
      </c>
      <c r="C473" s="19" t="str">
        <f t="shared" si="7"/>
        <v xml:space="preserve">Chris Chong </v>
      </c>
      <c r="D473" s="19" t="s">
        <v>1489</v>
      </c>
      <c r="E473" s="19" t="s">
        <v>3359</v>
      </c>
      <c r="F473" s="19" t="s">
        <v>4</v>
      </c>
      <c r="G473" s="19" t="s">
        <v>3360</v>
      </c>
      <c r="H473" s="19">
        <v>97423872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ht="12.5">
      <c r="A474" s="19" t="s">
        <v>3361</v>
      </c>
      <c r="B474" s="19" t="s">
        <v>4394</v>
      </c>
      <c r="C474" s="19" t="str">
        <f t="shared" si="7"/>
        <v xml:space="preserve">Khor Zhen Yi </v>
      </c>
      <c r="D474" s="19" t="s">
        <v>1489</v>
      </c>
      <c r="E474" s="19" t="s">
        <v>3362</v>
      </c>
      <c r="F474" s="19" t="s">
        <v>4</v>
      </c>
      <c r="G474" s="19" t="s">
        <v>3167</v>
      </c>
      <c r="H474" s="19">
        <v>89081070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ht="12.5">
      <c r="A475" s="19" t="s">
        <v>3363</v>
      </c>
      <c r="B475" s="19" t="s">
        <v>4394</v>
      </c>
      <c r="C475" s="19" t="str">
        <f t="shared" si="7"/>
        <v xml:space="preserve">Jenny Law </v>
      </c>
      <c r="D475" s="19" t="s">
        <v>1489</v>
      </c>
      <c r="E475" s="19" t="s">
        <v>3364</v>
      </c>
      <c r="F475" s="19" t="s">
        <v>4</v>
      </c>
      <c r="G475" s="19" t="s">
        <v>198</v>
      </c>
      <c r="H475" s="19">
        <v>84816938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ht="12.5">
      <c r="A476" s="19" t="s">
        <v>3365</v>
      </c>
      <c r="B476" s="19" t="s">
        <v>4394</v>
      </c>
      <c r="C476" s="19" t="str">
        <f t="shared" si="7"/>
        <v xml:space="preserve">Lim Jia Ling </v>
      </c>
      <c r="D476" s="19" t="s">
        <v>1489</v>
      </c>
      <c r="E476" s="19" t="s">
        <v>3366</v>
      </c>
      <c r="F476" s="19" t="s">
        <v>4</v>
      </c>
      <c r="G476" s="19" t="s">
        <v>3367</v>
      </c>
      <c r="H476" s="19">
        <v>92966735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ht="12.5">
      <c r="A477" s="19" t="s">
        <v>3368</v>
      </c>
      <c r="B477" s="19" t="s">
        <v>4394</v>
      </c>
      <c r="C477" s="19" t="str">
        <f t="shared" si="7"/>
        <v xml:space="preserve">jiang Geng </v>
      </c>
      <c r="D477" s="19" t="s">
        <v>1489</v>
      </c>
      <c r="E477" s="19" t="s">
        <v>3369</v>
      </c>
      <c r="F477" s="19" t="s">
        <v>4</v>
      </c>
      <c r="G477" s="19" t="s">
        <v>3370</v>
      </c>
      <c r="H477" s="19">
        <v>6596793940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ht="12.5">
      <c r="A478" s="19" t="s">
        <v>3371</v>
      </c>
      <c r="B478" s="19" t="s">
        <v>4394</v>
      </c>
      <c r="C478" s="19" t="str">
        <f t="shared" si="7"/>
        <v xml:space="preserve">Vani Patro </v>
      </c>
      <c r="D478" s="19" t="s">
        <v>1489</v>
      </c>
      <c r="E478" s="19" t="s">
        <v>3372</v>
      </c>
      <c r="F478" s="19" t="s">
        <v>4</v>
      </c>
      <c r="G478" s="19" t="s">
        <v>3373</v>
      </c>
      <c r="H478" s="19">
        <v>90084751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ht="12.5">
      <c r="A479" s="19" t="s">
        <v>2794</v>
      </c>
      <c r="B479" s="19" t="s">
        <v>4394</v>
      </c>
      <c r="C479" s="19" t="str">
        <f t="shared" si="7"/>
        <v xml:space="preserve">Joseph </v>
      </c>
      <c r="D479" s="19" t="s">
        <v>1489</v>
      </c>
      <c r="E479" s="20" t="s">
        <v>3374</v>
      </c>
      <c r="F479" s="19" t="s">
        <v>4</v>
      </c>
      <c r="G479" s="19" t="s">
        <v>3375</v>
      </c>
      <c r="H479" s="19">
        <v>96582362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ht="12.5">
      <c r="A480" s="19" t="s">
        <v>3371</v>
      </c>
      <c r="B480" s="19" t="s">
        <v>4394</v>
      </c>
      <c r="C480" s="19" t="str">
        <f t="shared" si="7"/>
        <v xml:space="preserve">Vani Patro </v>
      </c>
      <c r="D480" s="19" t="s">
        <v>1489</v>
      </c>
      <c r="E480" s="19" t="s">
        <v>3376</v>
      </c>
      <c r="F480" s="19" t="s">
        <v>4</v>
      </c>
      <c r="G480" s="19" t="s">
        <v>3373</v>
      </c>
      <c r="H480" s="19">
        <v>90084751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ht="23">
      <c r="A481" s="19" t="s">
        <v>3377</v>
      </c>
      <c r="B481" s="19" t="s">
        <v>4394</v>
      </c>
      <c r="C481" s="19" t="str">
        <f t="shared" si="7"/>
        <v xml:space="preserve">Manjit kaur </v>
      </c>
      <c r="D481" s="19" t="s">
        <v>1489</v>
      </c>
      <c r="E481" s="19" t="s">
        <v>3378</v>
      </c>
      <c r="F481" s="19" t="s">
        <v>4</v>
      </c>
      <c r="G481" s="19" t="s">
        <v>3379</v>
      </c>
      <c r="H481" s="19">
        <v>90696176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ht="12.5">
      <c r="A482" s="19" t="s">
        <v>3380</v>
      </c>
      <c r="B482" s="19" t="s">
        <v>4394</v>
      </c>
      <c r="C482" s="19" t="str">
        <f t="shared" si="7"/>
        <v xml:space="preserve">huiching chAN </v>
      </c>
      <c r="D482" s="19" t="s">
        <v>1489</v>
      </c>
      <c r="E482" s="19" t="s">
        <v>3381</v>
      </c>
      <c r="F482" s="19" t="s">
        <v>4</v>
      </c>
      <c r="G482" s="19" t="s">
        <v>3382</v>
      </c>
      <c r="H482" s="19">
        <v>91686850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ht="12.5">
      <c r="A483" s="19" t="s">
        <v>3383</v>
      </c>
      <c r="B483" s="19" t="s">
        <v>4394</v>
      </c>
      <c r="C483" s="19" t="str">
        <f t="shared" si="7"/>
        <v xml:space="preserve">Amos Wong </v>
      </c>
      <c r="D483" s="19" t="s">
        <v>1489</v>
      </c>
      <c r="E483" s="19" t="s">
        <v>3384</v>
      </c>
      <c r="F483" s="19" t="s">
        <v>4</v>
      </c>
      <c r="G483" s="19" t="s">
        <v>3385</v>
      </c>
      <c r="H483" s="19">
        <v>92780669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ht="12.5">
      <c r="A484" s="19" t="s">
        <v>3386</v>
      </c>
      <c r="B484" s="19" t="s">
        <v>4394</v>
      </c>
      <c r="C484" s="19" t="str">
        <f t="shared" si="7"/>
        <v xml:space="preserve">Zach Seah </v>
      </c>
      <c r="D484" s="19" t="s">
        <v>1489</v>
      </c>
      <c r="E484" s="19" t="s">
        <v>3387</v>
      </c>
      <c r="F484" s="19" t="s">
        <v>4</v>
      </c>
      <c r="G484" s="19" t="s">
        <v>3388</v>
      </c>
      <c r="H484" s="19">
        <v>90069226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ht="12.5">
      <c r="A485" s="19" t="s">
        <v>3389</v>
      </c>
      <c r="B485" s="19" t="s">
        <v>4394</v>
      </c>
      <c r="C485" s="19" t="str">
        <f t="shared" si="7"/>
        <v xml:space="preserve">Jason Siew </v>
      </c>
      <c r="D485" s="19" t="s">
        <v>1489</v>
      </c>
      <c r="E485" s="19" t="s">
        <v>3390</v>
      </c>
      <c r="F485" s="19" t="s">
        <v>4</v>
      </c>
      <c r="G485" s="19" t="s">
        <v>3391</v>
      </c>
      <c r="H485" s="19">
        <v>98150500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ht="12.5">
      <c r="A486" s="19" t="s">
        <v>3371</v>
      </c>
      <c r="B486" s="19" t="s">
        <v>4394</v>
      </c>
      <c r="C486" s="19" t="str">
        <f t="shared" si="7"/>
        <v xml:space="preserve">Vani Patro </v>
      </c>
      <c r="D486" s="19" t="s">
        <v>1489</v>
      </c>
      <c r="E486" s="19" t="s">
        <v>3392</v>
      </c>
      <c r="F486" s="19" t="s">
        <v>4</v>
      </c>
      <c r="G486" s="19" t="s">
        <v>3373</v>
      </c>
      <c r="H486" s="19">
        <v>90084751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ht="12.5">
      <c r="A487" s="19" t="s">
        <v>3393</v>
      </c>
      <c r="B487" s="19" t="s">
        <v>4394</v>
      </c>
      <c r="C487" s="19" t="str">
        <f t="shared" si="7"/>
        <v xml:space="preserve">Winnie Ong </v>
      </c>
      <c r="D487" s="19" t="s">
        <v>1489</v>
      </c>
      <c r="E487" s="19" t="s">
        <v>3394</v>
      </c>
      <c r="F487" s="19" t="s">
        <v>4</v>
      </c>
      <c r="G487" s="19" t="s">
        <v>3395</v>
      </c>
      <c r="H487" s="19">
        <v>90177837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ht="12.5">
      <c r="A488" s="19" t="s">
        <v>3396</v>
      </c>
      <c r="B488" s="19" t="s">
        <v>4394</v>
      </c>
      <c r="C488" s="19" t="str">
        <f t="shared" si="7"/>
        <v xml:space="preserve">Soh Pay Koon </v>
      </c>
      <c r="D488" s="19" t="s">
        <v>1489</v>
      </c>
      <c r="E488" s="19" t="s">
        <v>3397</v>
      </c>
      <c r="F488" s="19" t="s">
        <v>4</v>
      </c>
      <c r="G488" s="19" t="s">
        <v>3398</v>
      </c>
      <c r="H488" s="19">
        <v>98565091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ht="12.5">
      <c r="A489" s="19" t="s">
        <v>522</v>
      </c>
      <c r="B489" s="19" t="s">
        <v>4394</v>
      </c>
      <c r="C489" s="19" t="str">
        <f t="shared" si="7"/>
        <v xml:space="preserve">Lawrence </v>
      </c>
      <c r="D489" s="19" t="s">
        <v>1489</v>
      </c>
      <c r="E489" s="19" t="s">
        <v>3399</v>
      </c>
      <c r="F489" s="19" t="s">
        <v>4</v>
      </c>
      <c r="G489" s="19" t="s">
        <v>3400</v>
      </c>
      <c r="H489" s="19" t="s">
        <v>1493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ht="12.5">
      <c r="A490" s="19" t="s">
        <v>4715</v>
      </c>
      <c r="B490" s="19" t="s">
        <v>4394</v>
      </c>
      <c r="C490" s="19" t="str">
        <f t="shared" si="7"/>
        <v xml:space="preserve">Rahael </v>
      </c>
      <c r="D490" s="19" t="s">
        <v>1489</v>
      </c>
      <c r="E490" s="19" t="s">
        <v>3081</v>
      </c>
      <c r="F490" s="19" t="s">
        <v>4</v>
      </c>
      <c r="G490" s="19" t="s">
        <v>842</v>
      </c>
      <c r="H490" s="19">
        <v>98894334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ht="12.5">
      <c r="A491" s="19" t="s">
        <v>4716</v>
      </c>
      <c r="B491" s="19" t="s">
        <v>4394</v>
      </c>
      <c r="C491" s="19" t="str">
        <f t="shared" si="7"/>
        <v xml:space="preserve">Brandan </v>
      </c>
      <c r="D491" s="19" t="s">
        <v>1489</v>
      </c>
      <c r="E491" s="19" t="s">
        <v>1512</v>
      </c>
      <c r="F491" s="19" t="s">
        <v>4</v>
      </c>
      <c r="G491" s="19" t="s">
        <v>842</v>
      </c>
      <c r="H491" s="19">
        <v>98502250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ht="12.5">
      <c r="A492" s="19" t="s">
        <v>2239</v>
      </c>
      <c r="B492" s="19" t="s">
        <v>630</v>
      </c>
      <c r="C492" s="19" t="str">
        <f t="shared" si="7"/>
        <v>James Tay</v>
      </c>
      <c r="D492" s="19" t="s">
        <v>1489</v>
      </c>
      <c r="E492" s="19" t="s">
        <v>3401</v>
      </c>
      <c r="F492" s="19" t="s">
        <v>4</v>
      </c>
      <c r="G492" s="19" t="s">
        <v>3402</v>
      </c>
      <c r="H492" s="19" t="s">
        <v>3403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ht="12.5">
      <c r="A493" s="19" t="s">
        <v>4419</v>
      </c>
      <c r="B493" s="19" t="s">
        <v>4394</v>
      </c>
      <c r="C493" s="19" t="str">
        <f t="shared" si="7"/>
        <v xml:space="preserve">Fion </v>
      </c>
      <c r="D493" s="19" t="s">
        <v>1489</v>
      </c>
      <c r="E493" s="19" t="s">
        <v>3404</v>
      </c>
      <c r="F493" s="19" t="s">
        <v>4</v>
      </c>
      <c r="G493" s="19" t="s">
        <v>3405</v>
      </c>
      <c r="H493" s="19">
        <v>91691490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ht="34.5">
      <c r="A494" s="19" t="s">
        <v>1046</v>
      </c>
      <c r="B494" s="19" t="s">
        <v>473</v>
      </c>
      <c r="C494" s="19" t="str">
        <f t="shared" si="7"/>
        <v>Eileen Chua</v>
      </c>
      <c r="D494" s="19" t="s">
        <v>1489</v>
      </c>
      <c r="E494" s="19" t="s">
        <v>3406</v>
      </c>
      <c r="F494" s="19" t="s">
        <v>4</v>
      </c>
      <c r="G494" s="19" t="s">
        <v>3407</v>
      </c>
      <c r="H494" s="19" t="s">
        <v>842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ht="12.5">
      <c r="A495" s="19" t="s">
        <v>4717</v>
      </c>
      <c r="B495" s="19" t="s">
        <v>4788</v>
      </c>
      <c r="C495" s="19" t="str">
        <f t="shared" si="7"/>
        <v>Dean White</v>
      </c>
      <c r="D495" s="19" t="s">
        <v>1489</v>
      </c>
      <c r="E495" s="19" t="s">
        <v>3408</v>
      </c>
      <c r="F495" s="19" t="s">
        <v>4</v>
      </c>
      <c r="G495" s="19" t="s">
        <v>3409</v>
      </c>
      <c r="H495" s="19">
        <v>449867464</v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ht="46">
      <c r="A496" s="19" t="s">
        <v>4652</v>
      </c>
      <c r="B496" s="19" t="s">
        <v>821</v>
      </c>
      <c r="C496" s="19" t="str">
        <f t="shared" si="7"/>
        <v>Ken Lee</v>
      </c>
      <c r="D496" s="19" t="s">
        <v>1489</v>
      </c>
      <c r="E496" s="19" t="s">
        <v>3410</v>
      </c>
      <c r="F496" s="19" t="s">
        <v>4</v>
      </c>
      <c r="G496" s="19" t="s">
        <v>3411</v>
      </c>
      <c r="H496" s="19">
        <v>98550412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ht="23">
      <c r="A497" s="19" t="s">
        <v>372</v>
      </c>
      <c r="B497" s="19" t="s">
        <v>4789</v>
      </c>
      <c r="C497" s="19" t="str">
        <f t="shared" si="7"/>
        <v>Tan Jue</v>
      </c>
      <c r="D497" s="19" t="s">
        <v>1489</v>
      </c>
      <c r="E497" s="19" t="s">
        <v>3412</v>
      </c>
      <c r="F497" s="19" t="s">
        <v>4</v>
      </c>
      <c r="G497" s="19" t="s">
        <v>3352</v>
      </c>
      <c r="H497" s="19" t="s">
        <v>3413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ht="12.5">
      <c r="A498" s="19" t="s">
        <v>649</v>
      </c>
      <c r="B498" s="19" t="s">
        <v>3414</v>
      </c>
      <c r="C498" s="19" t="str">
        <f t="shared" si="7"/>
        <v>Joyce OMS</v>
      </c>
      <c r="D498" s="19" t="s">
        <v>1489</v>
      </c>
      <c r="E498" s="19" t="s">
        <v>3415</v>
      </c>
      <c r="F498" s="19" t="s">
        <v>4</v>
      </c>
      <c r="G498" s="19" t="s">
        <v>3416</v>
      </c>
      <c r="H498" s="19">
        <v>97897801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ht="23">
      <c r="A499" s="19" t="s">
        <v>2896</v>
      </c>
      <c r="B499" s="19" t="s">
        <v>394</v>
      </c>
      <c r="C499" s="19" t="str">
        <f t="shared" si="7"/>
        <v>Francis Teo</v>
      </c>
      <c r="D499" s="19" t="s">
        <v>1489</v>
      </c>
      <c r="E499" s="19" t="s">
        <v>3417</v>
      </c>
      <c r="F499" s="19" t="s">
        <v>4</v>
      </c>
      <c r="G499" s="19" t="s">
        <v>3418</v>
      </c>
      <c r="H499" s="19">
        <f>6583827213</f>
        <v>6583827213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ht="12.5">
      <c r="A500" s="19" t="s">
        <v>4718</v>
      </c>
      <c r="B500" s="19" t="s">
        <v>4394</v>
      </c>
      <c r="C500" s="19" t="str">
        <f t="shared" si="7"/>
        <v xml:space="preserve">Glenn </v>
      </c>
      <c r="D500" s="19" t="s">
        <v>1489</v>
      </c>
      <c r="E500" s="19" t="s">
        <v>3419</v>
      </c>
      <c r="F500" s="19" t="s">
        <v>4</v>
      </c>
      <c r="G500" s="19" t="s">
        <v>3420</v>
      </c>
      <c r="H500" s="19" t="s">
        <v>842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ht="12.5">
      <c r="A501" s="19" t="s">
        <v>4602</v>
      </c>
      <c r="B501" s="19" t="s">
        <v>907</v>
      </c>
      <c r="C501" s="19" t="str">
        <f t="shared" si="7"/>
        <v>Dorothy Goh</v>
      </c>
      <c r="D501" s="19" t="s">
        <v>1489</v>
      </c>
      <c r="E501" s="19" t="s">
        <v>1493</v>
      </c>
      <c r="F501" s="19" t="s">
        <v>4</v>
      </c>
      <c r="G501" s="19" t="s">
        <v>72</v>
      </c>
      <c r="H501" s="19">
        <v>96185050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ht="12.5">
      <c r="A502" s="19" t="s">
        <v>4719</v>
      </c>
      <c r="B502" s="19" t="s">
        <v>842</v>
      </c>
      <c r="C502" s="19" t="str">
        <f t="shared" si="7"/>
        <v>Tim NA</v>
      </c>
      <c r="D502" s="19" t="s">
        <v>1489</v>
      </c>
      <c r="E502" s="19" t="s">
        <v>3421</v>
      </c>
      <c r="F502" s="19" t="s">
        <v>4</v>
      </c>
      <c r="G502" s="19" t="s">
        <v>3422</v>
      </c>
      <c r="H502" s="19" t="s">
        <v>842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ht="12.5">
      <c r="A503" s="19" t="s">
        <v>3423</v>
      </c>
      <c r="B503" s="19" t="s">
        <v>842</v>
      </c>
      <c r="C503" s="19" t="str">
        <f t="shared" si="7"/>
        <v>Eric yi Peng NA</v>
      </c>
      <c r="D503" s="19" t="s">
        <v>1489</v>
      </c>
      <c r="E503" s="19" t="s">
        <v>3424</v>
      </c>
      <c r="F503" s="19" t="s">
        <v>4</v>
      </c>
      <c r="G503" s="19" t="s">
        <v>3425</v>
      </c>
      <c r="H503" s="19" t="s">
        <v>842</v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ht="12.5">
      <c r="A504" s="19" t="s">
        <v>3426</v>
      </c>
      <c r="B504" s="19" t="s">
        <v>1503</v>
      </c>
      <c r="C504" s="19" t="str">
        <f t="shared" si="7"/>
        <v>Bob -</v>
      </c>
      <c r="D504" s="19" t="s">
        <v>1489</v>
      </c>
      <c r="E504" s="19" t="s">
        <v>3427</v>
      </c>
      <c r="F504" s="19" t="s">
        <v>4</v>
      </c>
      <c r="G504" s="19" t="s">
        <v>3428</v>
      </c>
      <c r="H504" s="19">
        <v>97331048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ht="12.5">
      <c r="A505" s="19" t="s">
        <v>901</v>
      </c>
      <c r="B505" s="19" t="s">
        <v>3429</v>
      </c>
      <c r="C505" s="19" t="str">
        <f t="shared" si="7"/>
        <v>Eunice Lok</v>
      </c>
      <c r="D505" s="19" t="s">
        <v>1489</v>
      </c>
      <c r="E505" s="19" t="s">
        <v>3430</v>
      </c>
      <c r="F505" s="19" t="s">
        <v>4</v>
      </c>
      <c r="G505" s="19" t="s">
        <v>3431</v>
      </c>
      <c r="H505" s="19">
        <v>81579476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ht="12.5">
      <c r="A506" s="19" t="s">
        <v>4720</v>
      </c>
      <c r="B506" s="19" t="s">
        <v>907</v>
      </c>
      <c r="C506" s="19" t="str">
        <f t="shared" si="7"/>
        <v>Donald Goh</v>
      </c>
      <c r="D506" s="19" t="s">
        <v>1489</v>
      </c>
      <c r="E506" s="19" t="s">
        <v>3432</v>
      </c>
      <c r="F506" s="19" t="s">
        <v>4</v>
      </c>
      <c r="G506" s="19" t="s">
        <v>3433</v>
      </c>
      <c r="H506" s="19" t="s">
        <v>842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ht="12.5">
      <c r="A507" s="19" t="s">
        <v>1621</v>
      </c>
      <c r="B507" s="19" t="s">
        <v>744</v>
      </c>
      <c r="C507" s="19" t="str">
        <f t="shared" si="7"/>
        <v>Desiree Chan</v>
      </c>
      <c r="D507" s="19" t="s">
        <v>1489</v>
      </c>
      <c r="E507" s="19" t="s">
        <v>3434</v>
      </c>
      <c r="F507" s="19" t="s">
        <v>4</v>
      </c>
      <c r="G507" s="19" t="s">
        <v>3435</v>
      </c>
      <c r="H507" s="19">
        <v>97856203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ht="12.5">
      <c r="A508" s="19" t="s">
        <v>4721</v>
      </c>
      <c r="B508" s="19" t="s">
        <v>2831</v>
      </c>
      <c r="C508" s="19" t="str">
        <f t="shared" si="7"/>
        <v>Nash Song</v>
      </c>
      <c r="D508" s="19" t="s">
        <v>1489</v>
      </c>
      <c r="E508" s="19" t="s">
        <v>3436</v>
      </c>
      <c r="F508" s="19" t="s">
        <v>4</v>
      </c>
      <c r="G508" s="19" t="s">
        <v>3437</v>
      </c>
      <c r="H508" s="19" t="s">
        <v>842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ht="12.5">
      <c r="A509" s="19" t="s">
        <v>4722</v>
      </c>
      <c r="B509" s="19" t="s">
        <v>842</v>
      </c>
      <c r="C509" s="19" t="str">
        <f t="shared" si="7"/>
        <v>Gwen NA</v>
      </c>
      <c r="D509" s="19" t="s">
        <v>1489</v>
      </c>
      <c r="E509" s="19" t="s">
        <v>3438</v>
      </c>
      <c r="F509" s="19" t="s">
        <v>4</v>
      </c>
      <c r="G509" s="19" t="s">
        <v>3439</v>
      </c>
      <c r="H509" s="19" t="s">
        <v>1493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ht="12.5">
      <c r="A510" s="19" t="s">
        <v>4723</v>
      </c>
      <c r="B510" s="19" t="s">
        <v>4394</v>
      </c>
      <c r="C510" s="19" t="str">
        <f t="shared" si="7"/>
        <v xml:space="preserve">Kit </v>
      </c>
      <c r="D510" s="19" t="s">
        <v>1489</v>
      </c>
      <c r="E510" s="19" t="s">
        <v>3440</v>
      </c>
      <c r="F510" s="19" t="s">
        <v>4</v>
      </c>
      <c r="G510" s="19" t="s">
        <v>3441</v>
      </c>
      <c r="H510" s="19">
        <v>96816833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ht="12.5">
      <c r="A511" s="19" t="s">
        <v>3363</v>
      </c>
      <c r="B511" s="19" t="s">
        <v>842</v>
      </c>
      <c r="C511" s="19" t="str">
        <f t="shared" si="7"/>
        <v>Jenny Law NA</v>
      </c>
      <c r="D511" s="19" t="s">
        <v>1489</v>
      </c>
      <c r="E511" s="19" t="s">
        <v>3442</v>
      </c>
      <c r="F511" s="19" t="s">
        <v>4</v>
      </c>
      <c r="G511" s="19" t="s">
        <v>3443</v>
      </c>
      <c r="H511" s="19" t="s">
        <v>1493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ht="12.5">
      <c r="A512" s="19" t="s">
        <v>4724</v>
      </c>
      <c r="B512" s="19" t="s">
        <v>3444</v>
      </c>
      <c r="C512" s="19" t="str">
        <f t="shared" si="7"/>
        <v>aman shah</v>
      </c>
      <c r="D512" s="19" t="s">
        <v>1489</v>
      </c>
      <c r="E512" s="19" t="s">
        <v>3445</v>
      </c>
      <c r="F512" s="19" t="s">
        <v>4</v>
      </c>
      <c r="G512" s="19" t="s">
        <v>3446</v>
      </c>
      <c r="H512" s="19">
        <v>9876543210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ht="46">
      <c r="A513" s="19" t="s">
        <v>4725</v>
      </c>
      <c r="B513" s="19" t="s">
        <v>2262</v>
      </c>
      <c r="C513" s="19" t="str">
        <f t="shared" si="7"/>
        <v>Celine Sim</v>
      </c>
      <c r="D513" s="19" t="s">
        <v>1489</v>
      </c>
      <c r="E513" s="19" t="s">
        <v>1493</v>
      </c>
      <c r="F513" s="19" t="s">
        <v>4</v>
      </c>
      <c r="G513" s="19" t="s">
        <v>3447</v>
      </c>
      <c r="H513" s="19" t="s">
        <v>3447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ht="12.5">
      <c r="A514" s="19" t="s">
        <v>916</v>
      </c>
      <c r="B514" s="19" t="s">
        <v>4394</v>
      </c>
      <c r="C514" s="19" t="str">
        <f t="shared" si="7"/>
        <v xml:space="preserve">Na </v>
      </c>
      <c r="D514" s="19" t="s">
        <v>1489</v>
      </c>
      <c r="E514" s="19" t="s">
        <v>3448</v>
      </c>
      <c r="F514" s="19" t="s">
        <v>4</v>
      </c>
      <c r="G514" s="19" t="s">
        <v>3449</v>
      </c>
      <c r="H514" s="19" t="s">
        <v>1527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ht="23">
      <c r="A515" s="19" t="s">
        <v>4726</v>
      </c>
      <c r="B515" s="19" t="s">
        <v>842</v>
      </c>
      <c r="C515" s="19" t="str">
        <f t="shared" ref="C515:C578" si="8">_xlfn.CONCAT(A515," ",B515)</f>
        <v>Dareen NA</v>
      </c>
      <c r="D515" s="19" t="s">
        <v>1489</v>
      </c>
      <c r="E515" s="19" t="s">
        <v>3450</v>
      </c>
      <c r="F515" s="19" t="s">
        <v>4</v>
      </c>
      <c r="G515" s="19" t="s">
        <v>3451</v>
      </c>
      <c r="H515" s="19" t="s">
        <v>1493</v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ht="12.5">
      <c r="A516" s="19" t="s">
        <v>842</v>
      </c>
      <c r="B516" s="19" t="s">
        <v>842</v>
      </c>
      <c r="C516" s="19" t="str">
        <f t="shared" si="8"/>
        <v>NA NA</v>
      </c>
      <c r="D516" s="19" t="s">
        <v>1489</v>
      </c>
      <c r="E516" s="19" t="s">
        <v>3452</v>
      </c>
      <c r="F516" s="19" t="s">
        <v>4</v>
      </c>
      <c r="G516" s="19" t="s">
        <v>1600</v>
      </c>
      <c r="H516" s="19" t="s">
        <v>1493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ht="12.5">
      <c r="A517" s="19" t="s">
        <v>4727</v>
      </c>
      <c r="B517" s="19" t="s">
        <v>842</v>
      </c>
      <c r="C517" s="19" t="str">
        <f t="shared" si="8"/>
        <v>Deep NA</v>
      </c>
      <c r="D517" s="19" t="s">
        <v>1489</v>
      </c>
      <c r="E517" s="19" t="s">
        <v>3453</v>
      </c>
      <c r="F517" s="19" t="s">
        <v>4</v>
      </c>
      <c r="G517" s="19" t="s">
        <v>3454</v>
      </c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ht="12.5">
      <c r="A518" s="19" t="s">
        <v>1153</v>
      </c>
      <c r="B518" s="19" t="s">
        <v>842</v>
      </c>
      <c r="C518" s="19" t="str">
        <f t="shared" si="8"/>
        <v>Victor NA</v>
      </c>
      <c r="D518" s="19" t="s">
        <v>1489</v>
      </c>
      <c r="E518" s="19" t="s">
        <v>3455</v>
      </c>
      <c r="F518" s="19" t="s">
        <v>4</v>
      </c>
      <c r="G518" s="19" t="s">
        <v>3456</v>
      </c>
      <c r="H518" s="19" t="s">
        <v>1493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ht="12.5">
      <c r="A519" s="19" t="s">
        <v>842</v>
      </c>
      <c r="B519" s="19" t="s">
        <v>842</v>
      </c>
      <c r="C519" s="19" t="str">
        <f t="shared" si="8"/>
        <v>NA NA</v>
      </c>
      <c r="D519" s="19" t="s">
        <v>1489</v>
      </c>
      <c r="E519" s="19" t="s">
        <v>3457</v>
      </c>
      <c r="F519" s="19" t="s">
        <v>4</v>
      </c>
      <c r="G519" s="19" t="s">
        <v>3458</v>
      </c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ht="12.5">
      <c r="A520" s="19" t="s">
        <v>842</v>
      </c>
      <c r="B520" s="19" t="s">
        <v>842</v>
      </c>
      <c r="C520" s="19" t="str">
        <f t="shared" si="8"/>
        <v>NA NA</v>
      </c>
      <c r="D520" s="19" t="s">
        <v>1489</v>
      </c>
      <c r="E520" s="19" t="s">
        <v>3459</v>
      </c>
      <c r="F520" s="19" t="s">
        <v>4</v>
      </c>
      <c r="G520" s="19" t="s">
        <v>3460</v>
      </c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ht="12.5">
      <c r="A521" s="19" t="s">
        <v>842</v>
      </c>
      <c r="B521" s="19" t="s">
        <v>842</v>
      </c>
      <c r="C521" s="19" t="str">
        <f t="shared" si="8"/>
        <v>NA NA</v>
      </c>
      <c r="D521" s="19" t="s">
        <v>1489</v>
      </c>
      <c r="E521" s="19" t="s">
        <v>3144</v>
      </c>
      <c r="F521" s="19" t="s">
        <v>4</v>
      </c>
      <c r="G521" s="19" t="s">
        <v>3145</v>
      </c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ht="12.5">
      <c r="A522" s="19" t="s">
        <v>842</v>
      </c>
      <c r="B522" s="19" t="s">
        <v>842</v>
      </c>
      <c r="C522" s="19" t="str">
        <f t="shared" si="8"/>
        <v>NA NA</v>
      </c>
      <c r="D522" s="19" t="s">
        <v>1489</v>
      </c>
      <c r="E522" s="19" t="s">
        <v>3461</v>
      </c>
      <c r="F522" s="19" t="s">
        <v>4</v>
      </c>
      <c r="G522" s="19" t="s">
        <v>3462</v>
      </c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ht="12.5">
      <c r="A523" s="19" t="s">
        <v>842</v>
      </c>
      <c r="B523" s="19" t="s">
        <v>842</v>
      </c>
      <c r="C523" s="19" t="str">
        <f t="shared" si="8"/>
        <v>NA NA</v>
      </c>
      <c r="D523" s="19" t="s">
        <v>1489</v>
      </c>
      <c r="E523" s="19" t="s">
        <v>3463</v>
      </c>
      <c r="F523" s="19" t="s">
        <v>4</v>
      </c>
      <c r="G523" s="19" t="s">
        <v>3464</v>
      </c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ht="12.5">
      <c r="A524" s="19" t="s">
        <v>916</v>
      </c>
      <c r="B524" s="19" t="s">
        <v>842</v>
      </c>
      <c r="C524" s="19" t="str">
        <f t="shared" si="8"/>
        <v>Na NA</v>
      </c>
      <c r="D524" s="19" t="s">
        <v>1489</v>
      </c>
      <c r="E524" s="19" t="s">
        <v>3465</v>
      </c>
      <c r="F524" s="19" t="s">
        <v>4</v>
      </c>
      <c r="G524" s="19" t="s">
        <v>3466</v>
      </c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ht="12.5">
      <c r="A525" s="19" t="s">
        <v>1530</v>
      </c>
      <c r="B525" s="19" t="s">
        <v>842</v>
      </c>
      <c r="C525" s="19" t="str">
        <f t="shared" si="8"/>
        <v>Adam NA</v>
      </c>
      <c r="D525" s="19" t="s">
        <v>1489</v>
      </c>
      <c r="E525" s="19" t="s">
        <v>1512</v>
      </c>
      <c r="F525" s="19" t="s">
        <v>4</v>
      </c>
      <c r="G525" s="19" t="s">
        <v>1493</v>
      </c>
      <c r="H525" s="19">
        <v>90997844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ht="12.5">
      <c r="A526" s="19" t="s">
        <v>481</v>
      </c>
      <c r="B526" s="19" t="s">
        <v>842</v>
      </c>
      <c r="C526" s="19" t="str">
        <f t="shared" si="8"/>
        <v>David NA</v>
      </c>
      <c r="D526" s="19" t="s">
        <v>1489</v>
      </c>
      <c r="E526" s="19" t="s">
        <v>3467</v>
      </c>
      <c r="F526" s="19" t="s">
        <v>4</v>
      </c>
      <c r="G526" s="19" t="s">
        <v>842</v>
      </c>
      <c r="H526" s="19">
        <v>91163304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ht="12.5">
      <c r="A527" s="19" t="s">
        <v>4728</v>
      </c>
      <c r="B527" s="19" t="s">
        <v>842</v>
      </c>
      <c r="C527" s="19" t="str">
        <f t="shared" si="8"/>
        <v>Roland NA</v>
      </c>
      <c r="D527" s="19" t="s">
        <v>1489</v>
      </c>
      <c r="E527" s="19" t="s">
        <v>3468</v>
      </c>
      <c r="F527" s="19" t="s">
        <v>4</v>
      </c>
      <c r="G527" s="19" t="s">
        <v>3469</v>
      </c>
      <c r="H527" s="19">
        <v>92376160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ht="12.5">
      <c r="A528" s="19" t="s">
        <v>4729</v>
      </c>
      <c r="B528" s="19" t="s">
        <v>842</v>
      </c>
      <c r="C528" s="19" t="str">
        <f t="shared" si="8"/>
        <v>Aberdeen NA</v>
      </c>
      <c r="D528" s="19" t="s">
        <v>1489</v>
      </c>
      <c r="E528" s="19" t="s">
        <v>3470</v>
      </c>
      <c r="F528" s="19" t="s">
        <v>4</v>
      </c>
      <c r="G528" s="19" t="s">
        <v>3471</v>
      </c>
      <c r="H528" s="19" t="s">
        <v>3472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ht="12.5">
      <c r="A529" s="19" t="s">
        <v>4730</v>
      </c>
      <c r="B529" s="19" t="s">
        <v>842</v>
      </c>
      <c r="C529" s="19" t="str">
        <f t="shared" si="8"/>
        <v>Andrie NA</v>
      </c>
      <c r="D529" s="19" t="s">
        <v>1489</v>
      </c>
      <c r="E529" s="19" t="s">
        <v>3473</v>
      </c>
      <c r="F529" s="19" t="s">
        <v>4</v>
      </c>
      <c r="G529" s="19" t="s">
        <v>3474</v>
      </c>
      <c r="H529" s="19">
        <v>811977470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ht="12.5">
      <c r="A530" s="19" t="s">
        <v>4731</v>
      </c>
      <c r="B530" s="19" t="s">
        <v>842</v>
      </c>
      <c r="C530" s="19" t="str">
        <f t="shared" si="8"/>
        <v>Naing NA</v>
      </c>
      <c r="D530" s="19" t="s">
        <v>1489</v>
      </c>
      <c r="E530" s="19" t="s">
        <v>3475</v>
      </c>
      <c r="F530" s="19" t="s">
        <v>4</v>
      </c>
      <c r="G530" s="19" t="s">
        <v>842</v>
      </c>
      <c r="H530" s="19">
        <v>90706376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ht="12.5">
      <c r="A531" s="19" t="s">
        <v>1530</v>
      </c>
      <c r="B531" s="19" t="s">
        <v>842</v>
      </c>
      <c r="C531" s="19" t="str">
        <f t="shared" si="8"/>
        <v>Adam NA</v>
      </c>
      <c r="D531" s="19" t="s">
        <v>1489</v>
      </c>
      <c r="E531" s="19" t="s">
        <v>3476</v>
      </c>
      <c r="F531" s="19" t="s">
        <v>4</v>
      </c>
      <c r="G531" s="19" t="s">
        <v>842</v>
      </c>
      <c r="H531" s="19">
        <v>90997844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ht="12.5">
      <c r="A532" s="19" t="s">
        <v>842</v>
      </c>
      <c r="B532" s="19" t="s">
        <v>4394</v>
      </c>
      <c r="C532" s="19" t="str">
        <f t="shared" si="8"/>
        <v xml:space="preserve">NA </v>
      </c>
      <c r="D532" s="19" t="s">
        <v>1489</v>
      </c>
      <c r="E532" s="19" t="s">
        <v>3477</v>
      </c>
      <c r="F532" s="19" t="s">
        <v>4</v>
      </c>
      <c r="G532" s="19" t="s">
        <v>842</v>
      </c>
      <c r="H532" s="19">
        <v>88088950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ht="12.5">
      <c r="A533" s="19" t="s">
        <v>408</v>
      </c>
      <c r="B533" s="19" t="s">
        <v>842</v>
      </c>
      <c r="C533" s="19" t="str">
        <f t="shared" si="8"/>
        <v>Shereen NA</v>
      </c>
      <c r="D533" s="19" t="s">
        <v>1489</v>
      </c>
      <c r="E533" s="19" t="s">
        <v>3478</v>
      </c>
      <c r="F533" s="19" t="s">
        <v>4</v>
      </c>
      <c r="G533" s="19" t="s">
        <v>3479</v>
      </c>
      <c r="H533" s="19" t="s">
        <v>1493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ht="12.5">
      <c r="A534" s="19" t="s">
        <v>4732</v>
      </c>
      <c r="B534" s="19" t="s">
        <v>764</v>
      </c>
      <c r="C534" s="19" t="str">
        <f t="shared" si="8"/>
        <v>Chonhak Kim</v>
      </c>
      <c r="D534" s="19" t="s">
        <v>1489</v>
      </c>
      <c r="E534" s="19" t="s">
        <v>3480</v>
      </c>
      <c r="F534" s="19" t="s">
        <v>4</v>
      </c>
      <c r="G534" s="19" t="s">
        <v>3481</v>
      </c>
      <c r="H534" s="19">
        <v>98505391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ht="12.5">
      <c r="A535" s="19" t="s">
        <v>4733</v>
      </c>
      <c r="B535" s="19" t="s">
        <v>842</v>
      </c>
      <c r="C535" s="19" t="str">
        <f t="shared" si="8"/>
        <v>Minali NA</v>
      </c>
      <c r="D535" s="19" t="s">
        <v>1489</v>
      </c>
      <c r="E535" s="19" t="s">
        <v>3482</v>
      </c>
      <c r="F535" s="19" t="s">
        <v>4</v>
      </c>
      <c r="G535" s="19" t="s">
        <v>3483</v>
      </c>
      <c r="H535" s="19">
        <v>87932263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ht="12.5">
      <c r="A536" s="19" t="s">
        <v>469</v>
      </c>
      <c r="B536" s="19" t="s">
        <v>465</v>
      </c>
      <c r="C536" s="19" t="str">
        <f t="shared" si="8"/>
        <v>Richard Wong</v>
      </c>
      <c r="D536" s="19" t="s">
        <v>1489</v>
      </c>
      <c r="E536" s="19" t="s">
        <v>3484</v>
      </c>
      <c r="F536" s="19" t="s">
        <v>4</v>
      </c>
      <c r="G536" s="19" t="s">
        <v>1493</v>
      </c>
      <c r="H536" s="19">
        <v>94895060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ht="12.5">
      <c r="A537" s="19" t="s">
        <v>3485</v>
      </c>
      <c r="B537" s="19" t="s">
        <v>630</v>
      </c>
      <c r="C537" s="19" t="str">
        <f t="shared" si="8"/>
        <v>Anders Tay</v>
      </c>
      <c r="D537" s="19" t="s">
        <v>1489</v>
      </c>
      <c r="E537" s="19" t="s">
        <v>3486</v>
      </c>
      <c r="F537" s="19" t="s">
        <v>4</v>
      </c>
      <c r="G537" s="19" t="s">
        <v>3487</v>
      </c>
      <c r="H537" s="19">
        <v>97495817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ht="12.5">
      <c r="A538" s="19" t="s">
        <v>4734</v>
      </c>
      <c r="B538" s="19" t="s">
        <v>842</v>
      </c>
      <c r="C538" s="19" t="str">
        <f t="shared" si="8"/>
        <v>Sunny NA</v>
      </c>
      <c r="D538" s="19" t="s">
        <v>1489</v>
      </c>
      <c r="E538" s="19" t="s">
        <v>3488</v>
      </c>
      <c r="F538" s="19" t="s">
        <v>4</v>
      </c>
      <c r="G538" s="19" t="s">
        <v>3489</v>
      </c>
      <c r="H538" s="19" t="s">
        <v>1493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ht="23">
      <c r="A539" s="19" t="s">
        <v>1171</v>
      </c>
      <c r="B539" s="19" t="s">
        <v>4790</v>
      </c>
      <c r="C539" s="19" t="str">
        <f t="shared" si="8"/>
        <v>Reyes Ling</v>
      </c>
      <c r="D539" s="19" t="s">
        <v>1489</v>
      </c>
      <c r="E539" s="19" t="s">
        <v>3490</v>
      </c>
      <c r="F539" s="19" t="s">
        <v>4</v>
      </c>
      <c r="G539" s="19" t="s">
        <v>3491</v>
      </c>
      <c r="H539" s="19">
        <v>86688831</v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ht="12.5">
      <c r="A540" s="19" t="s">
        <v>4735</v>
      </c>
      <c r="B540" s="19" t="s">
        <v>3492</v>
      </c>
      <c r="C540" s="19" t="str">
        <f t="shared" si="8"/>
        <v>Xie Guoshun</v>
      </c>
      <c r="D540" s="19" t="s">
        <v>1489</v>
      </c>
      <c r="E540" s="19" t="s">
        <v>3493</v>
      </c>
      <c r="F540" s="19" t="s">
        <v>4</v>
      </c>
      <c r="G540" s="19" t="s">
        <v>3494</v>
      </c>
      <c r="H540" s="19" t="s">
        <v>3495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ht="12.5">
      <c r="A541" s="19" t="s">
        <v>482</v>
      </c>
      <c r="B541" s="19" t="s">
        <v>1503</v>
      </c>
      <c r="C541" s="19" t="str">
        <f t="shared" si="8"/>
        <v>Loh -</v>
      </c>
      <c r="D541" s="19" t="s">
        <v>1489</v>
      </c>
      <c r="E541" s="19" t="s">
        <v>3496</v>
      </c>
      <c r="F541" s="19" t="s">
        <v>4</v>
      </c>
      <c r="G541" s="19" t="s">
        <v>3497</v>
      </c>
      <c r="H541" s="19">
        <v>90607369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ht="12.5">
      <c r="A542" s="19" t="s">
        <v>842</v>
      </c>
      <c r="B542" s="19" t="s">
        <v>842</v>
      </c>
      <c r="C542" s="19" t="str">
        <f t="shared" si="8"/>
        <v>NA NA</v>
      </c>
      <c r="D542" s="19" t="s">
        <v>1489</v>
      </c>
      <c r="E542" s="19" t="s">
        <v>3498</v>
      </c>
      <c r="F542" s="19" t="s">
        <v>4</v>
      </c>
      <c r="G542" s="19" t="s">
        <v>3499</v>
      </c>
      <c r="H542" s="19" t="s">
        <v>1493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ht="12.5">
      <c r="A543" s="19" t="s">
        <v>4736</v>
      </c>
      <c r="B543" s="19" t="s">
        <v>329</v>
      </c>
      <c r="C543" s="19" t="str">
        <f t="shared" si="8"/>
        <v>Zenith Neo</v>
      </c>
      <c r="D543" s="19" t="s">
        <v>1489</v>
      </c>
      <c r="E543" s="19" t="s">
        <v>3500</v>
      </c>
      <c r="F543" s="19" t="s">
        <v>4</v>
      </c>
      <c r="G543" s="19" t="s">
        <v>3501</v>
      </c>
      <c r="H543" s="19">
        <f>6596331563</f>
        <v>6596331563</v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ht="12.5">
      <c r="A544" s="19" t="s">
        <v>660</v>
      </c>
      <c r="B544" s="19" t="s">
        <v>3502</v>
      </c>
      <c r="C544" s="19" t="str">
        <f t="shared" si="8"/>
        <v>Chris Fonseca</v>
      </c>
      <c r="D544" s="19" t="s">
        <v>1489</v>
      </c>
      <c r="E544" s="19" t="s">
        <v>3503</v>
      </c>
      <c r="F544" s="19" t="s">
        <v>4</v>
      </c>
      <c r="G544" s="19" t="s">
        <v>3504</v>
      </c>
      <c r="H544" s="19">
        <v>98467311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ht="23">
      <c r="A545" s="19" t="s">
        <v>649</v>
      </c>
      <c r="B545" s="19" t="s">
        <v>3505</v>
      </c>
      <c r="C545" s="19" t="str">
        <f t="shared" si="8"/>
        <v>Joyce FNB</v>
      </c>
      <c r="D545" s="19" t="s">
        <v>1489</v>
      </c>
      <c r="E545" s="19" t="s">
        <v>3506</v>
      </c>
      <c r="F545" s="19" t="s">
        <v>4</v>
      </c>
      <c r="G545" s="19" t="s">
        <v>3507</v>
      </c>
      <c r="H545" s="19">
        <v>65950541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ht="12.5">
      <c r="A546" s="19" t="s">
        <v>4737</v>
      </c>
      <c r="B546" s="19" t="s">
        <v>4394</v>
      </c>
      <c r="C546" s="19" t="str">
        <f t="shared" si="8"/>
        <v xml:space="preserve">Pini </v>
      </c>
      <c r="D546" s="19" t="s">
        <v>1489</v>
      </c>
      <c r="E546" s="19" t="s">
        <v>3467</v>
      </c>
      <c r="F546" s="19" t="s">
        <v>4</v>
      </c>
      <c r="G546" s="19" t="s">
        <v>3508</v>
      </c>
      <c r="H546" s="19" t="s">
        <v>842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ht="12.5">
      <c r="A547" s="19" t="s">
        <v>842</v>
      </c>
      <c r="B547" s="19" t="s">
        <v>4394</v>
      </c>
      <c r="C547" s="19" t="str">
        <f t="shared" si="8"/>
        <v xml:space="preserve">NA </v>
      </c>
      <c r="D547" s="19" t="s">
        <v>1489</v>
      </c>
      <c r="E547" s="19" t="s">
        <v>3509</v>
      </c>
      <c r="F547" s="19" t="s">
        <v>4</v>
      </c>
      <c r="G547" s="19" t="s">
        <v>3510</v>
      </c>
      <c r="H547" s="19" t="s">
        <v>842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ht="23">
      <c r="A548" s="19" t="s">
        <v>744</v>
      </c>
      <c r="B548" s="19" t="s">
        <v>4394</v>
      </c>
      <c r="C548" s="19" t="str">
        <f t="shared" si="8"/>
        <v xml:space="preserve">Chan </v>
      </c>
      <c r="D548" s="19" t="s">
        <v>1489</v>
      </c>
      <c r="E548" s="19" t="s">
        <v>3511</v>
      </c>
      <c r="F548" s="19" t="s">
        <v>4</v>
      </c>
      <c r="G548" s="19" t="s">
        <v>1493</v>
      </c>
      <c r="H548" s="19">
        <v>65055722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ht="12.5">
      <c r="A549" s="19" t="s">
        <v>2899</v>
      </c>
      <c r="B549" s="19" t="s">
        <v>465</v>
      </c>
      <c r="C549" s="19" t="str">
        <f t="shared" si="8"/>
        <v>Marcus Wong</v>
      </c>
      <c r="D549" s="19" t="s">
        <v>1489</v>
      </c>
      <c r="E549" s="19" t="s">
        <v>3512</v>
      </c>
      <c r="F549" s="19" t="s">
        <v>4</v>
      </c>
      <c r="G549" s="19" t="s">
        <v>3513</v>
      </c>
      <c r="H549" s="19">
        <v>85690949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ht="12.5">
      <c r="A550" s="19" t="s">
        <v>4738</v>
      </c>
      <c r="B550" s="19" t="s">
        <v>1083</v>
      </c>
      <c r="C550" s="19" t="str">
        <f t="shared" si="8"/>
        <v>chin Hui Hui</v>
      </c>
      <c r="D550" s="19" t="s">
        <v>1489</v>
      </c>
      <c r="E550" s="19" t="s">
        <v>1512</v>
      </c>
      <c r="F550" s="19" t="s">
        <v>4</v>
      </c>
      <c r="G550" s="19" t="s">
        <v>3514</v>
      </c>
      <c r="H550" s="19">
        <v>94797062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ht="12.5">
      <c r="A551" s="19" t="s">
        <v>613</v>
      </c>
      <c r="B551" s="19" t="s">
        <v>842</v>
      </c>
      <c r="C551" s="19" t="str">
        <f t="shared" si="8"/>
        <v>Raymond NA</v>
      </c>
      <c r="D551" s="19" t="s">
        <v>1489</v>
      </c>
      <c r="E551" s="19" t="s">
        <v>3515</v>
      </c>
      <c r="F551" s="19" t="s">
        <v>4</v>
      </c>
      <c r="G551" s="19" t="s">
        <v>3516</v>
      </c>
      <c r="H551" s="19" t="s">
        <v>842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ht="23">
      <c r="A552" s="19" t="s">
        <v>1427</v>
      </c>
      <c r="B552" s="19" t="s">
        <v>4791</v>
      </c>
      <c r="C552" s="19" t="str">
        <f t="shared" si="8"/>
        <v>Nan Philipps</v>
      </c>
      <c r="D552" s="19" t="s">
        <v>1489</v>
      </c>
      <c r="E552" s="19" t="s">
        <v>3517</v>
      </c>
      <c r="F552" s="19" t="s">
        <v>4</v>
      </c>
      <c r="G552" s="19" t="s">
        <v>2802</v>
      </c>
      <c r="H552" s="19" t="s">
        <v>1493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ht="12.5">
      <c r="A553" s="19" t="s">
        <v>842</v>
      </c>
      <c r="B553" s="19" t="s">
        <v>4394</v>
      </c>
      <c r="C553" s="19" t="str">
        <f t="shared" si="8"/>
        <v xml:space="preserve">NA </v>
      </c>
      <c r="D553" s="19" t="s">
        <v>1489</v>
      </c>
      <c r="E553" s="19" t="s">
        <v>3518</v>
      </c>
      <c r="F553" s="19" t="s">
        <v>4</v>
      </c>
      <c r="G553" s="19"/>
      <c r="H553" s="19">
        <v>91696078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ht="23">
      <c r="A554" s="19" t="s">
        <v>4739</v>
      </c>
      <c r="B554" s="19" t="s">
        <v>494</v>
      </c>
      <c r="C554" s="19" t="str">
        <f t="shared" si="8"/>
        <v>Binu Halim</v>
      </c>
      <c r="D554" s="19" t="s">
        <v>1489</v>
      </c>
      <c r="E554" s="19" t="s">
        <v>3519</v>
      </c>
      <c r="F554" s="19" t="s">
        <v>4</v>
      </c>
      <c r="G554" s="19" t="s">
        <v>3520</v>
      </c>
      <c r="H554" s="19">
        <f>6588127741</f>
        <v>6588127741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ht="12.5">
      <c r="A555" s="19" t="s">
        <v>3521</v>
      </c>
      <c r="B555" s="19" t="s">
        <v>4394</v>
      </c>
      <c r="C555" s="19" t="str">
        <f t="shared" si="8"/>
        <v xml:space="preserve">Jin </v>
      </c>
      <c r="D555" s="19" t="s">
        <v>1489</v>
      </c>
      <c r="E555" s="19" t="s">
        <v>3522</v>
      </c>
      <c r="F555" s="19" t="s">
        <v>4</v>
      </c>
      <c r="G555" s="19" t="s">
        <v>842</v>
      </c>
      <c r="H555" s="19">
        <v>96349208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ht="23">
      <c r="A556" s="19" t="s">
        <v>652</v>
      </c>
      <c r="B556" s="19" t="s">
        <v>4394</v>
      </c>
      <c r="C556" s="19" t="str">
        <f t="shared" si="8"/>
        <v xml:space="preserve">Andrew </v>
      </c>
      <c r="D556" s="19" t="s">
        <v>1489</v>
      </c>
      <c r="E556" s="19" t="s">
        <v>3523</v>
      </c>
      <c r="F556" s="19" t="s">
        <v>4</v>
      </c>
      <c r="G556" s="19" t="s">
        <v>3524</v>
      </c>
      <c r="H556" s="19" t="s">
        <v>842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ht="12.5">
      <c r="A557" s="19" t="s">
        <v>842</v>
      </c>
      <c r="B557" s="19" t="s">
        <v>842</v>
      </c>
      <c r="C557" s="19" t="str">
        <f t="shared" si="8"/>
        <v>NA NA</v>
      </c>
      <c r="D557" s="19" t="s">
        <v>1489</v>
      </c>
      <c r="E557" s="19" t="s">
        <v>3525</v>
      </c>
      <c r="F557" s="19" t="s">
        <v>4</v>
      </c>
      <c r="G557" s="19" t="s">
        <v>842</v>
      </c>
      <c r="H557" s="19">
        <v>88271418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ht="23">
      <c r="A558" s="19" t="s">
        <v>4437</v>
      </c>
      <c r="B558" s="19" t="s">
        <v>4501</v>
      </c>
      <c r="C558" s="19" t="str">
        <f t="shared" si="8"/>
        <v>Yuan Shan</v>
      </c>
      <c r="D558" s="19" t="s">
        <v>1489</v>
      </c>
      <c r="E558" s="19" t="s">
        <v>3526</v>
      </c>
      <c r="F558" s="19" t="s">
        <v>4</v>
      </c>
      <c r="G558" s="19" t="s">
        <v>3527</v>
      </c>
      <c r="H558" s="19" t="s">
        <v>842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ht="12.5">
      <c r="A559" s="19" t="s">
        <v>842</v>
      </c>
      <c r="B559" s="19" t="s">
        <v>4394</v>
      </c>
      <c r="C559" s="19" t="str">
        <f t="shared" si="8"/>
        <v xml:space="preserve">NA </v>
      </c>
      <c r="D559" s="19" t="s">
        <v>1489</v>
      </c>
      <c r="E559" s="19" t="s">
        <v>3528</v>
      </c>
      <c r="F559" s="19" t="s">
        <v>4</v>
      </c>
      <c r="G559" s="19"/>
      <c r="H559" s="19">
        <v>90295359</v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ht="23">
      <c r="A560" s="19" t="s">
        <v>3393</v>
      </c>
      <c r="B560" s="19" t="s">
        <v>1122</v>
      </c>
      <c r="C560" s="19" t="str">
        <f t="shared" si="8"/>
        <v>Winnie Ong Cheong</v>
      </c>
      <c r="D560" s="19" t="s">
        <v>1489</v>
      </c>
      <c r="E560" s="19" t="s">
        <v>3529</v>
      </c>
      <c r="F560" s="19" t="s">
        <v>4</v>
      </c>
      <c r="G560" s="19" t="s">
        <v>3530</v>
      </c>
      <c r="H560" s="19">
        <v>87782099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ht="12.5">
      <c r="A561" s="19" t="s">
        <v>329</v>
      </c>
      <c r="B561" s="19" t="s">
        <v>4437</v>
      </c>
      <c r="C561" s="19" t="str">
        <f t="shared" si="8"/>
        <v>Neo Yuan</v>
      </c>
      <c r="D561" s="19" t="s">
        <v>1489</v>
      </c>
      <c r="E561" s="19" t="s">
        <v>3531</v>
      </c>
      <c r="F561" s="19" t="s">
        <v>4</v>
      </c>
      <c r="G561" s="19" t="s">
        <v>3527</v>
      </c>
      <c r="H561" s="19" t="s">
        <v>842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ht="12.5">
      <c r="A562" s="19" t="s">
        <v>842</v>
      </c>
      <c r="B562" s="19" t="s">
        <v>4394</v>
      </c>
      <c r="C562" s="19" t="str">
        <f t="shared" si="8"/>
        <v xml:space="preserve">NA </v>
      </c>
      <c r="D562" s="19" t="s">
        <v>1489</v>
      </c>
      <c r="E562" s="19" t="s">
        <v>3532</v>
      </c>
      <c r="F562" s="19" t="s">
        <v>4</v>
      </c>
      <c r="G562" s="19" t="s">
        <v>3533</v>
      </c>
      <c r="H562" s="19" t="s">
        <v>1493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ht="23">
      <c r="A563" s="19" t="s">
        <v>3282</v>
      </c>
      <c r="B563" s="19" t="s">
        <v>4792</v>
      </c>
      <c r="C563" s="19" t="str">
        <f t="shared" si="8"/>
        <v>Noorul Ameen Ameen</v>
      </c>
      <c r="D563" s="19" t="s">
        <v>1489</v>
      </c>
      <c r="E563" s="19" t="s">
        <v>3534</v>
      </c>
      <c r="F563" s="19" t="s">
        <v>4</v>
      </c>
      <c r="G563" s="19" t="s">
        <v>3284</v>
      </c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ht="12.5">
      <c r="A564" s="19" t="s">
        <v>842</v>
      </c>
      <c r="B564" s="19" t="s">
        <v>1503</v>
      </c>
      <c r="C564" s="19" t="str">
        <f t="shared" si="8"/>
        <v>NA -</v>
      </c>
      <c r="D564" s="19" t="s">
        <v>1489</v>
      </c>
      <c r="E564" s="19" t="s">
        <v>842</v>
      </c>
      <c r="F564" s="19" t="s">
        <v>4</v>
      </c>
      <c r="G564" s="19" t="s">
        <v>3535</v>
      </c>
      <c r="H564" s="19" t="s">
        <v>842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ht="12.5">
      <c r="A565" s="19" t="s">
        <v>842</v>
      </c>
      <c r="B565" s="19" t="s">
        <v>1503</v>
      </c>
      <c r="C565" s="19" t="str">
        <f t="shared" si="8"/>
        <v>NA -</v>
      </c>
      <c r="D565" s="19" t="s">
        <v>1489</v>
      </c>
      <c r="E565" s="19" t="s">
        <v>842</v>
      </c>
      <c r="F565" s="19" t="s">
        <v>4</v>
      </c>
      <c r="G565" s="19" t="s">
        <v>3535</v>
      </c>
      <c r="H565" s="19" t="s">
        <v>842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ht="23">
      <c r="A566" s="19" t="s">
        <v>4740</v>
      </c>
      <c r="B566" s="19" t="s">
        <v>4793</v>
      </c>
      <c r="C566" s="19" t="str">
        <f t="shared" si="8"/>
        <v>Ankit Asron</v>
      </c>
      <c r="D566" s="19" t="s">
        <v>1489</v>
      </c>
      <c r="E566" s="19" t="s">
        <v>3536</v>
      </c>
      <c r="F566" s="19" t="s">
        <v>4</v>
      </c>
      <c r="G566" s="19" t="s">
        <v>3537</v>
      </c>
      <c r="H566" s="19" t="s">
        <v>3538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ht="12.5">
      <c r="A567" s="19" t="s">
        <v>2846</v>
      </c>
      <c r="B567" s="19" t="s">
        <v>842</v>
      </c>
      <c r="C567" s="19" t="str">
        <f t="shared" si="8"/>
        <v>Jeff NA</v>
      </c>
      <c r="D567" s="19" t="s">
        <v>1489</v>
      </c>
      <c r="E567" s="19" t="s">
        <v>3539</v>
      </c>
      <c r="F567" s="19" t="s">
        <v>4</v>
      </c>
      <c r="G567" s="19" t="s">
        <v>3540</v>
      </c>
      <c r="H567" s="19" t="s">
        <v>1493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ht="12.5">
      <c r="A568" s="19" t="s">
        <v>3541</v>
      </c>
      <c r="B568" s="19" t="s">
        <v>3542</v>
      </c>
      <c r="C568" s="19" t="str">
        <f t="shared" si="8"/>
        <v>ChefAnup Anup</v>
      </c>
      <c r="D568" s="19" t="s">
        <v>1489</v>
      </c>
      <c r="E568" s="19" t="s">
        <v>842</v>
      </c>
      <c r="F568" s="19" t="s">
        <v>4</v>
      </c>
      <c r="G568" s="19" t="s">
        <v>3543</v>
      </c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ht="12.5">
      <c r="A569" s="19" t="s">
        <v>2461</v>
      </c>
      <c r="B569" s="19" t="s">
        <v>667</v>
      </c>
      <c r="C569" s="19" t="str">
        <f t="shared" si="8"/>
        <v>Tommy Soh</v>
      </c>
      <c r="D569" s="19" t="s">
        <v>1489</v>
      </c>
      <c r="E569" s="19" t="s">
        <v>3544</v>
      </c>
      <c r="F569" s="19" t="s">
        <v>4</v>
      </c>
      <c r="G569" s="19" t="s">
        <v>3545</v>
      </c>
      <c r="H569" s="19">
        <v>88268786</v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ht="12.5">
      <c r="A570" s="19" t="s">
        <v>842</v>
      </c>
      <c r="B570" s="19" t="s">
        <v>4394</v>
      </c>
      <c r="C570" s="19" t="str">
        <f t="shared" si="8"/>
        <v xml:space="preserve">NA </v>
      </c>
      <c r="D570" s="19" t="s">
        <v>1489</v>
      </c>
      <c r="E570" s="19" t="s">
        <v>842</v>
      </c>
      <c r="F570" s="19" t="s">
        <v>4</v>
      </c>
      <c r="G570" s="19" t="s">
        <v>842</v>
      </c>
      <c r="H570" s="19">
        <v>91285523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ht="12.5">
      <c r="A571" s="19" t="s">
        <v>4741</v>
      </c>
      <c r="B571" s="19" t="s">
        <v>842</v>
      </c>
      <c r="C571" s="19" t="str">
        <f t="shared" si="8"/>
        <v>Regina NA</v>
      </c>
      <c r="D571" s="19" t="s">
        <v>1489</v>
      </c>
      <c r="E571" s="19" t="s">
        <v>3546</v>
      </c>
      <c r="F571" s="19" t="s">
        <v>4</v>
      </c>
      <c r="G571" s="19" t="s">
        <v>3547</v>
      </c>
      <c r="H571" s="19">
        <v>96805603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ht="23">
      <c r="A572" s="19" t="s">
        <v>842</v>
      </c>
      <c r="B572" s="19" t="s">
        <v>4394</v>
      </c>
      <c r="C572" s="19" t="str">
        <f t="shared" si="8"/>
        <v xml:space="preserve">NA </v>
      </c>
      <c r="D572" s="19" t="s">
        <v>1489</v>
      </c>
      <c r="E572" s="19" t="s">
        <v>3548</v>
      </c>
      <c r="F572" s="19" t="s">
        <v>4</v>
      </c>
      <c r="G572" s="19" t="s">
        <v>3549</v>
      </c>
      <c r="H572" s="19" t="s">
        <v>842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ht="12.5">
      <c r="A573" s="19" t="s">
        <v>4742</v>
      </c>
      <c r="B573" s="19" t="s">
        <v>702</v>
      </c>
      <c r="C573" s="19" t="str">
        <f t="shared" si="8"/>
        <v>Kathy Lim</v>
      </c>
      <c r="D573" s="19" t="s">
        <v>1489</v>
      </c>
      <c r="E573" s="19" t="s">
        <v>3550</v>
      </c>
      <c r="F573" s="19" t="s">
        <v>4</v>
      </c>
      <c r="G573" s="19" t="s">
        <v>3551</v>
      </c>
      <c r="H573" s="19">
        <v>81338244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ht="12.5">
      <c r="A574" s="19" t="s">
        <v>1041</v>
      </c>
      <c r="B574" s="19" t="s">
        <v>4794</v>
      </c>
      <c r="C574" s="19" t="str">
        <f t="shared" si="8"/>
        <v>Jack Ding</v>
      </c>
      <c r="D574" s="19" t="s">
        <v>1489</v>
      </c>
      <c r="E574" s="19" t="s">
        <v>3552</v>
      </c>
      <c r="F574" s="19" t="s">
        <v>4</v>
      </c>
      <c r="G574" s="19" t="s">
        <v>3553</v>
      </c>
      <c r="H574" s="19">
        <v>84996609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ht="12.5">
      <c r="A575" s="19" t="s">
        <v>4743</v>
      </c>
      <c r="B575" s="19" t="s">
        <v>4394</v>
      </c>
      <c r="C575" s="19" t="str">
        <f t="shared" si="8"/>
        <v xml:space="preserve">Rahul </v>
      </c>
      <c r="D575" s="19" t="s">
        <v>1489</v>
      </c>
      <c r="E575" s="19" t="s">
        <v>3554</v>
      </c>
      <c r="F575" s="19" t="s">
        <v>4</v>
      </c>
      <c r="G575" s="19" t="s">
        <v>842</v>
      </c>
      <c r="H575" s="19">
        <v>98867534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ht="23">
      <c r="A576" s="19" t="s">
        <v>3312</v>
      </c>
      <c r="B576" s="19" t="s">
        <v>3555</v>
      </c>
      <c r="C576" s="19" t="str">
        <f t="shared" si="8"/>
        <v>Jessica Tan Ai Lin Liaw</v>
      </c>
      <c r="D576" s="19" t="s">
        <v>1489</v>
      </c>
      <c r="E576" s="19" t="s">
        <v>3556</v>
      </c>
      <c r="F576" s="19" t="s">
        <v>4</v>
      </c>
      <c r="G576" s="19" t="s">
        <v>2582</v>
      </c>
      <c r="H576" s="19">
        <v>86611597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ht="12.5">
      <c r="A577" s="19" t="s">
        <v>2470</v>
      </c>
      <c r="B577" s="19" t="s">
        <v>4795</v>
      </c>
      <c r="C577" s="19" t="str">
        <f t="shared" si="8"/>
        <v>Seow SL</v>
      </c>
      <c r="D577" s="19" t="s">
        <v>1489</v>
      </c>
      <c r="E577" s="19" t="s">
        <v>3557</v>
      </c>
      <c r="F577" s="19" t="s">
        <v>4</v>
      </c>
      <c r="G577" s="20" t="s">
        <v>3558</v>
      </c>
      <c r="H577" s="19" t="s">
        <v>842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ht="12.5">
      <c r="A578" s="19" t="s">
        <v>4465</v>
      </c>
      <c r="B578" s="19" t="s">
        <v>4796</v>
      </c>
      <c r="C578" s="19" t="str">
        <f t="shared" si="8"/>
        <v>Yen Chu</v>
      </c>
      <c r="D578" s="19" t="s">
        <v>1489</v>
      </c>
      <c r="E578" s="19" t="s">
        <v>3559</v>
      </c>
      <c r="F578" s="19" t="s">
        <v>4</v>
      </c>
      <c r="G578" s="19" t="s">
        <v>3560</v>
      </c>
      <c r="H578" s="19">
        <v>90673489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ht="23">
      <c r="A579" s="19" t="s">
        <v>3365</v>
      </c>
      <c r="B579" s="19" t="s">
        <v>1503</v>
      </c>
      <c r="C579" s="19" t="str">
        <f t="shared" ref="C579:C637" si="9">_xlfn.CONCAT(A579," ",B579)</f>
        <v>Lim Jia Ling -</v>
      </c>
      <c r="D579" s="19" t="s">
        <v>1489</v>
      </c>
      <c r="E579" s="19" t="s">
        <v>3561</v>
      </c>
      <c r="F579" s="19" t="s">
        <v>4</v>
      </c>
      <c r="G579" s="19" t="s">
        <v>842</v>
      </c>
      <c r="H579" s="19">
        <v>90673489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ht="12.5">
      <c r="A580" s="19" t="s">
        <v>4744</v>
      </c>
      <c r="B580" s="19" t="s">
        <v>1503</v>
      </c>
      <c r="C580" s="19" t="str">
        <f t="shared" si="9"/>
        <v>Mahesh -</v>
      </c>
      <c r="D580" s="19" t="s">
        <v>1489</v>
      </c>
      <c r="E580" s="19" t="s">
        <v>3562</v>
      </c>
      <c r="F580" s="19" t="s">
        <v>4</v>
      </c>
      <c r="G580" s="19" t="s">
        <v>842</v>
      </c>
      <c r="H580" s="19">
        <v>85884474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ht="23">
      <c r="A581" s="19" t="s">
        <v>3563</v>
      </c>
      <c r="B581" s="19" t="s">
        <v>465</v>
      </c>
      <c r="C581" s="19" t="str">
        <f t="shared" si="9"/>
        <v>Vinn Wong</v>
      </c>
      <c r="D581" s="19" t="s">
        <v>1489</v>
      </c>
      <c r="E581" s="19" t="s">
        <v>3564</v>
      </c>
      <c r="F581" s="19" t="s">
        <v>4</v>
      </c>
      <c r="G581" s="19" t="s">
        <v>3565</v>
      </c>
      <c r="H581" s="19" t="s">
        <v>842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ht="12.5">
      <c r="A582" s="19" t="s">
        <v>2232</v>
      </c>
      <c r="B582" s="19" t="s">
        <v>4394</v>
      </c>
      <c r="C582" s="19" t="str">
        <f t="shared" si="9"/>
        <v xml:space="preserve">Catherine </v>
      </c>
      <c r="D582" s="19" t="s">
        <v>1489</v>
      </c>
      <c r="E582" s="19" t="s">
        <v>3566</v>
      </c>
      <c r="F582" s="19" t="s">
        <v>4</v>
      </c>
      <c r="G582" s="19" t="s">
        <v>3567</v>
      </c>
      <c r="H582" s="19" t="s">
        <v>3568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ht="23">
      <c r="A583" s="19" t="s">
        <v>1226</v>
      </c>
      <c r="B583" s="19" t="s">
        <v>4575</v>
      </c>
      <c r="C583" s="19" t="str">
        <f t="shared" si="9"/>
        <v>Cheryl Chiu</v>
      </c>
      <c r="D583" s="19" t="s">
        <v>1489</v>
      </c>
      <c r="E583" s="19" t="s">
        <v>1589</v>
      </c>
      <c r="F583" s="19" t="s">
        <v>4</v>
      </c>
      <c r="G583" s="19" t="s">
        <v>1590</v>
      </c>
      <c r="H583" s="19">
        <v>63417096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ht="23">
      <c r="A584" s="19" t="s">
        <v>3389</v>
      </c>
      <c r="B584" s="19" t="s">
        <v>3569</v>
      </c>
      <c r="C584" s="19" t="str">
        <f t="shared" si="9"/>
        <v>Jason Siew Caroll</v>
      </c>
      <c r="D584" s="19" t="s">
        <v>1489</v>
      </c>
      <c r="E584" s="19" t="s">
        <v>3570</v>
      </c>
      <c r="F584" s="19" t="s">
        <v>4</v>
      </c>
      <c r="G584" s="19" t="s">
        <v>3571</v>
      </c>
      <c r="H584" s="19">
        <v>97671255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ht="23">
      <c r="A585" s="19" t="s">
        <v>2463</v>
      </c>
      <c r="B585" s="19" t="s">
        <v>4797</v>
      </c>
      <c r="C585" s="19" t="str">
        <f t="shared" si="9"/>
        <v>Jasmine Purnama</v>
      </c>
      <c r="D585" s="19" t="s">
        <v>1489</v>
      </c>
      <c r="E585" s="19" t="s">
        <v>3572</v>
      </c>
      <c r="F585" s="19" t="s">
        <v>4</v>
      </c>
      <c r="G585" s="19" t="s">
        <v>3573</v>
      </c>
      <c r="H585" s="19">
        <v>97691749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ht="12.5">
      <c r="A586" s="19" t="s">
        <v>4745</v>
      </c>
      <c r="B586" s="19" t="s">
        <v>4394</v>
      </c>
      <c r="C586" s="19" t="str">
        <f t="shared" si="9"/>
        <v xml:space="preserve">Jumali </v>
      </c>
      <c r="D586" s="19" t="s">
        <v>1489</v>
      </c>
      <c r="E586" s="19" t="s">
        <v>3562</v>
      </c>
      <c r="F586" s="19" t="s">
        <v>4</v>
      </c>
      <c r="G586" s="19" t="s">
        <v>3574</v>
      </c>
      <c r="H586" s="19" t="s">
        <v>842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ht="12.5">
      <c r="A587" s="19" t="s">
        <v>1357</v>
      </c>
      <c r="B587" s="19" t="s">
        <v>4798</v>
      </c>
      <c r="C587" s="19" t="str">
        <f t="shared" si="9"/>
        <v>Amy Seapio</v>
      </c>
      <c r="D587" s="19" t="s">
        <v>1489</v>
      </c>
      <c r="E587" s="19" t="s">
        <v>3575</v>
      </c>
      <c r="F587" s="19" t="s">
        <v>4</v>
      </c>
      <c r="G587" s="19" t="s">
        <v>3576</v>
      </c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ht="12.5">
      <c r="A588" s="19" t="s">
        <v>4433</v>
      </c>
      <c r="B588" s="19" t="s">
        <v>842</v>
      </c>
      <c r="C588" s="19" t="str">
        <f t="shared" si="9"/>
        <v>Jon NA</v>
      </c>
      <c r="D588" s="19" t="s">
        <v>1489</v>
      </c>
      <c r="E588" s="19" t="s">
        <v>3577</v>
      </c>
      <c r="F588" s="19" t="s">
        <v>4</v>
      </c>
      <c r="G588" s="19" t="s">
        <v>3578</v>
      </c>
      <c r="H588" s="19" t="s">
        <v>1493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ht="12.5">
      <c r="A589" s="19" t="s">
        <v>4689</v>
      </c>
      <c r="B589" s="19" t="s">
        <v>3579</v>
      </c>
      <c r="C589" s="19" t="str">
        <f t="shared" si="9"/>
        <v>Ibrahim Khather</v>
      </c>
      <c r="D589" s="19" t="s">
        <v>1489</v>
      </c>
      <c r="E589" s="19" t="s">
        <v>3164</v>
      </c>
      <c r="F589" s="19" t="s">
        <v>4</v>
      </c>
      <c r="G589" s="19" t="s">
        <v>3580</v>
      </c>
      <c r="H589" s="19">
        <v>92999111</v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ht="12.5">
      <c r="A590" s="19" t="s">
        <v>4746</v>
      </c>
      <c r="B590" s="19" t="s">
        <v>878</v>
      </c>
      <c r="C590" s="19" t="str">
        <f t="shared" si="9"/>
        <v>Ron Koh</v>
      </c>
      <c r="D590" s="19" t="s">
        <v>1489</v>
      </c>
      <c r="E590" s="19" t="s">
        <v>3581</v>
      </c>
      <c r="F590" s="19" t="s">
        <v>4</v>
      </c>
      <c r="G590" s="19" t="s">
        <v>3582</v>
      </c>
      <c r="H590" s="19" t="s">
        <v>3583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ht="12.5">
      <c r="A591" s="19" t="s">
        <v>3584</v>
      </c>
      <c r="B591" s="19" t="s">
        <v>744</v>
      </c>
      <c r="C591" s="19" t="str">
        <f t="shared" si="9"/>
        <v>Alex Chan</v>
      </c>
      <c r="D591" s="19" t="s">
        <v>1489</v>
      </c>
      <c r="E591" s="19" t="s">
        <v>3585</v>
      </c>
      <c r="F591" s="19" t="s">
        <v>4</v>
      </c>
      <c r="G591" s="19" t="s">
        <v>3586</v>
      </c>
      <c r="H591" s="19" t="s">
        <v>842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ht="12.5">
      <c r="A592" s="19" t="s">
        <v>3584</v>
      </c>
      <c r="B592" s="19" t="s">
        <v>744</v>
      </c>
      <c r="C592" s="19" t="str">
        <f t="shared" si="9"/>
        <v>Alex Chan</v>
      </c>
      <c r="D592" s="19" t="s">
        <v>1489</v>
      </c>
      <c r="E592" s="19" t="s">
        <v>3587</v>
      </c>
      <c r="F592" s="19" t="s">
        <v>4</v>
      </c>
      <c r="G592" s="19" t="s">
        <v>3586</v>
      </c>
      <c r="H592" s="19" t="s">
        <v>1493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ht="12.5">
      <c r="A593" s="19" t="s">
        <v>793</v>
      </c>
      <c r="B593" s="19" t="s">
        <v>465</v>
      </c>
      <c r="C593" s="19" t="str">
        <f t="shared" si="9"/>
        <v>Shannon Wong</v>
      </c>
      <c r="D593" s="19" t="s">
        <v>1489</v>
      </c>
      <c r="E593" s="19" t="s">
        <v>3588</v>
      </c>
      <c r="F593" s="19" t="s">
        <v>4</v>
      </c>
      <c r="G593" s="19" t="s">
        <v>3589</v>
      </c>
      <c r="H593" s="19">
        <v>83333483</v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ht="12.5">
      <c r="A594" s="19" t="s">
        <v>842</v>
      </c>
      <c r="B594" s="19" t="s">
        <v>842</v>
      </c>
      <c r="C594" s="19" t="str">
        <f t="shared" si="9"/>
        <v>NA NA</v>
      </c>
      <c r="D594" s="19" t="s">
        <v>1489</v>
      </c>
      <c r="E594" s="19" t="s">
        <v>3590</v>
      </c>
      <c r="F594" s="19" t="s">
        <v>4</v>
      </c>
      <c r="G594" s="19" t="s">
        <v>3591</v>
      </c>
      <c r="H594" s="19" t="s">
        <v>1493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ht="12.5">
      <c r="A595" s="19" t="s">
        <v>4747</v>
      </c>
      <c r="B595" s="19" t="s">
        <v>3592</v>
      </c>
      <c r="C595" s="19" t="str">
        <f t="shared" si="9"/>
        <v>Jacquiline Lui</v>
      </c>
      <c r="D595" s="19" t="s">
        <v>1489</v>
      </c>
      <c r="E595" s="19" t="s">
        <v>3593</v>
      </c>
      <c r="F595" s="19" t="s">
        <v>4</v>
      </c>
      <c r="G595" s="19" t="s">
        <v>3594</v>
      </c>
      <c r="H595" s="19">
        <v>92471384</v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ht="12.5">
      <c r="A596" s="19" t="s">
        <v>842</v>
      </c>
      <c r="B596" s="19" t="s">
        <v>842</v>
      </c>
      <c r="C596" s="19" t="str">
        <f t="shared" si="9"/>
        <v>NA NA</v>
      </c>
      <c r="D596" s="19" t="s">
        <v>1489</v>
      </c>
      <c r="E596" s="19" t="s">
        <v>3595</v>
      </c>
      <c r="F596" s="19" t="s">
        <v>4</v>
      </c>
      <c r="G596" s="19" t="s">
        <v>842</v>
      </c>
      <c r="H596" s="19">
        <v>91507690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ht="12.5">
      <c r="A597" s="19" t="s">
        <v>2809</v>
      </c>
      <c r="B597" s="19" t="s">
        <v>842</v>
      </c>
      <c r="C597" s="19" t="str">
        <f t="shared" si="9"/>
        <v>Zac NA</v>
      </c>
      <c r="D597" s="19" t="s">
        <v>1489</v>
      </c>
      <c r="E597" s="19" t="s">
        <v>3596</v>
      </c>
      <c r="F597" s="19" t="s">
        <v>4</v>
      </c>
      <c r="G597" s="19" t="s">
        <v>3597</v>
      </c>
      <c r="H597" s="19" t="s">
        <v>3598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ht="12.5">
      <c r="A598" s="19" t="s">
        <v>1008</v>
      </c>
      <c r="B598" s="19" t="s">
        <v>4799</v>
      </c>
      <c r="C598" s="19" t="str">
        <f t="shared" si="9"/>
        <v>Choo San</v>
      </c>
      <c r="D598" s="19" t="s">
        <v>1489</v>
      </c>
      <c r="E598" s="19" t="s">
        <v>3599</v>
      </c>
      <c r="F598" s="19" t="s">
        <v>4</v>
      </c>
      <c r="G598" s="19" t="s">
        <v>3600</v>
      </c>
      <c r="H598" s="19">
        <v>83631388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ht="12.5">
      <c r="A599" s="19" t="s">
        <v>4748</v>
      </c>
      <c r="B599" s="19" t="s">
        <v>4800</v>
      </c>
      <c r="C599" s="19" t="str">
        <f t="shared" si="9"/>
        <v>Eri Erwn</v>
      </c>
      <c r="D599" s="19" t="s">
        <v>1489</v>
      </c>
      <c r="E599" s="19" t="s">
        <v>1645</v>
      </c>
      <c r="F599" s="19" t="s">
        <v>4</v>
      </c>
      <c r="G599" s="19" t="s">
        <v>3601</v>
      </c>
      <c r="H599" s="19" t="s">
        <v>842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ht="12.5">
      <c r="A600" s="19" t="s">
        <v>4749</v>
      </c>
      <c r="B600" s="19" t="s">
        <v>4394</v>
      </c>
      <c r="C600" s="19" t="str">
        <f t="shared" si="9"/>
        <v xml:space="preserve">Stelin </v>
      </c>
      <c r="D600" s="19" t="s">
        <v>1489</v>
      </c>
      <c r="E600" s="19" t="s">
        <v>1645</v>
      </c>
      <c r="F600" s="19" t="s">
        <v>4</v>
      </c>
      <c r="G600" s="19" t="s">
        <v>3602</v>
      </c>
      <c r="H600" s="19" t="s">
        <v>842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ht="12.5">
      <c r="A601" s="19" t="s">
        <v>807</v>
      </c>
      <c r="B601" s="19" t="s">
        <v>465</v>
      </c>
      <c r="C601" s="19" t="str">
        <f t="shared" si="9"/>
        <v>Nicholas Wong</v>
      </c>
      <c r="D601" s="19" t="s">
        <v>1489</v>
      </c>
      <c r="E601" s="19" t="s">
        <v>3603</v>
      </c>
      <c r="F601" s="19" t="s">
        <v>4</v>
      </c>
      <c r="G601" s="19" t="s">
        <v>3604</v>
      </c>
      <c r="H601" s="19" t="s">
        <v>3605</v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ht="12.5">
      <c r="A602" s="19" t="s">
        <v>4750</v>
      </c>
      <c r="B602" s="19" t="s">
        <v>4801</v>
      </c>
      <c r="C602" s="19" t="str">
        <f t="shared" si="9"/>
        <v>Vrup Chev</v>
      </c>
      <c r="D602" s="19" t="s">
        <v>1489</v>
      </c>
      <c r="E602" s="19" t="s">
        <v>1493</v>
      </c>
      <c r="F602" s="19" t="s">
        <v>4</v>
      </c>
      <c r="G602" s="19" t="s">
        <v>3606</v>
      </c>
      <c r="H602" s="19" t="s">
        <v>842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ht="12.5">
      <c r="A603" s="19" t="s">
        <v>3607</v>
      </c>
      <c r="B603" s="19" t="s">
        <v>1179</v>
      </c>
      <c r="C603" s="19" t="str">
        <f t="shared" si="9"/>
        <v>Jasvinder Singh</v>
      </c>
      <c r="D603" s="19" t="s">
        <v>1489</v>
      </c>
      <c r="E603" s="19" t="s">
        <v>3608</v>
      </c>
      <c r="F603" s="19" t="s">
        <v>4</v>
      </c>
      <c r="G603" s="19" t="s">
        <v>3609</v>
      </c>
      <c r="H603" s="19">
        <v>93805917</v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ht="12.5">
      <c r="A604" s="19" t="s">
        <v>4742</v>
      </c>
      <c r="B604" s="19" t="s">
        <v>3610</v>
      </c>
      <c r="C604" s="19" t="str">
        <f t="shared" si="9"/>
        <v>Kathy Bonyamin</v>
      </c>
      <c r="D604" s="19" t="s">
        <v>1489</v>
      </c>
      <c r="E604" s="19" t="s">
        <v>3611</v>
      </c>
      <c r="F604" s="19" t="s">
        <v>4</v>
      </c>
      <c r="G604" s="19" t="s">
        <v>3612</v>
      </c>
      <c r="H604" s="19">
        <v>96897442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ht="12.5">
      <c r="A605" s="19" t="s">
        <v>4751</v>
      </c>
      <c r="B605" s="19" t="s">
        <v>4394</v>
      </c>
      <c r="C605" s="19" t="str">
        <f t="shared" si="9"/>
        <v xml:space="preserve">MDR Rusli </v>
      </c>
      <c r="D605" s="19" t="s">
        <v>1489</v>
      </c>
      <c r="E605" s="19" t="s">
        <v>1645</v>
      </c>
      <c r="F605" s="19" t="s">
        <v>4</v>
      </c>
      <c r="G605" s="19" t="s">
        <v>3613</v>
      </c>
      <c r="H605" s="19" t="s">
        <v>842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ht="12.5">
      <c r="A606" s="19" t="s">
        <v>842</v>
      </c>
      <c r="B606" s="19" t="s">
        <v>842</v>
      </c>
      <c r="C606" s="19" t="str">
        <f t="shared" si="9"/>
        <v>NA NA</v>
      </c>
      <c r="D606" s="19" t="s">
        <v>1489</v>
      </c>
      <c r="E606" s="19" t="s">
        <v>3614</v>
      </c>
      <c r="F606" s="19" t="s">
        <v>4</v>
      </c>
      <c r="G606" s="19" t="s">
        <v>3615</v>
      </c>
      <c r="H606" s="19" t="s">
        <v>842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ht="23">
      <c r="A607" s="19" t="s">
        <v>4752</v>
      </c>
      <c r="B607" s="19" t="s">
        <v>842</v>
      </c>
      <c r="C607" s="19" t="str">
        <f t="shared" si="9"/>
        <v>Shubing NA</v>
      </c>
      <c r="D607" s="19" t="s">
        <v>1489</v>
      </c>
      <c r="E607" s="19" t="s">
        <v>3616</v>
      </c>
      <c r="F607" s="19" t="s">
        <v>4</v>
      </c>
      <c r="G607" s="19" t="s">
        <v>3615</v>
      </c>
      <c r="H607" s="19">
        <v>92231098</v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ht="12.5">
      <c r="A608" s="19" t="s">
        <v>2473</v>
      </c>
      <c r="B608" s="19" t="s">
        <v>3839</v>
      </c>
      <c r="C608" s="19" t="str">
        <f t="shared" si="9"/>
        <v>Ang Benson</v>
      </c>
      <c r="D608" s="19" t="s">
        <v>1489</v>
      </c>
      <c r="E608" s="19" t="s">
        <v>3617</v>
      </c>
      <c r="F608" s="19" t="s">
        <v>4</v>
      </c>
      <c r="G608" s="19" t="s">
        <v>3618</v>
      </c>
      <c r="H608" s="19">
        <v>93277607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ht="23">
      <c r="A609" s="19" t="s">
        <v>3619</v>
      </c>
      <c r="B609" s="19" t="s">
        <v>842</v>
      </c>
      <c r="C609" s="19" t="str">
        <f t="shared" si="9"/>
        <v>Charles NA</v>
      </c>
      <c r="D609" s="19" t="s">
        <v>1489</v>
      </c>
      <c r="E609" s="19" t="s">
        <v>3620</v>
      </c>
      <c r="F609" s="19" t="s">
        <v>4</v>
      </c>
      <c r="G609" s="19" t="s">
        <v>1493</v>
      </c>
      <c r="H609" s="19">
        <v>82223888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ht="34.5">
      <c r="A610" s="19" t="s">
        <v>2473</v>
      </c>
      <c r="B610" s="19" t="s">
        <v>3839</v>
      </c>
      <c r="C610" s="19" t="str">
        <f t="shared" si="9"/>
        <v>Ang Benson</v>
      </c>
      <c r="D610" s="19" t="s">
        <v>1489</v>
      </c>
      <c r="E610" s="19" t="s">
        <v>3621</v>
      </c>
      <c r="F610" s="19" t="s">
        <v>4</v>
      </c>
      <c r="G610" s="19" t="s">
        <v>3622</v>
      </c>
      <c r="H610" s="19">
        <v>93277607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ht="12.5">
      <c r="A611" s="19" t="s">
        <v>842</v>
      </c>
      <c r="B611" s="19" t="s">
        <v>4394</v>
      </c>
      <c r="C611" s="19" t="str">
        <f t="shared" si="9"/>
        <v xml:space="preserve">NA </v>
      </c>
      <c r="D611" s="19" t="s">
        <v>1489</v>
      </c>
      <c r="E611" s="19" t="s">
        <v>3623</v>
      </c>
      <c r="F611" s="19" t="s">
        <v>4</v>
      </c>
      <c r="G611" s="19" t="s">
        <v>3624</v>
      </c>
      <c r="H611" s="19">
        <v>85889969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ht="12.5">
      <c r="A612" s="19" t="s">
        <v>4753</v>
      </c>
      <c r="B612" s="19" t="s">
        <v>842</v>
      </c>
      <c r="C612" s="19" t="str">
        <f t="shared" si="9"/>
        <v>gozali NA</v>
      </c>
      <c r="D612" s="19" t="s">
        <v>1489</v>
      </c>
      <c r="E612" s="19" t="s">
        <v>842</v>
      </c>
      <c r="F612" s="19" t="s">
        <v>4</v>
      </c>
      <c r="G612" s="19" t="s">
        <v>3625</v>
      </c>
      <c r="H612" s="19" t="s">
        <v>842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ht="12.5">
      <c r="A613" s="19" t="s">
        <v>4414</v>
      </c>
      <c r="B613" s="19" t="s">
        <v>842</v>
      </c>
      <c r="C613" s="19" t="str">
        <f t="shared" si="9"/>
        <v>Dennis NA</v>
      </c>
      <c r="D613" s="19" t="s">
        <v>1489</v>
      </c>
      <c r="E613" s="19" t="s">
        <v>1592</v>
      </c>
      <c r="F613" s="19" t="s">
        <v>4</v>
      </c>
      <c r="G613" s="19" t="s">
        <v>1593</v>
      </c>
      <c r="H613" s="19" t="s">
        <v>1527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ht="34.5">
      <c r="A614" s="19" t="s">
        <v>4754</v>
      </c>
      <c r="B614" s="19" t="s">
        <v>580</v>
      </c>
      <c r="C614" s="19" t="str">
        <f t="shared" si="9"/>
        <v>Tossie Chong</v>
      </c>
      <c r="D614" s="19" t="s">
        <v>1489</v>
      </c>
      <c r="E614" s="19" t="s">
        <v>3626</v>
      </c>
      <c r="F614" s="19" t="s">
        <v>4</v>
      </c>
      <c r="G614" s="19" t="s">
        <v>3627</v>
      </c>
      <c r="H614" s="19">
        <v>66220423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ht="12.5">
      <c r="A615" s="19" t="s">
        <v>842</v>
      </c>
      <c r="B615" s="19" t="s">
        <v>4394</v>
      </c>
      <c r="C615" s="19" t="str">
        <f t="shared" si="9"/>
        <v xml:space="preserve">NA </v>
      </c>
      <c r="D615" s="19" t="s">
        <v>1489</v>
      </c>
      <c r="E615" s="19" t="s">
        <v>3628</v>
      </c>
      <c r="F615" s="19" t="s">
        <v>4</v>
      </c>
      <c r="G615" s="19" t="s">
        <v>3629</v>
      </c>
      <c r="H615" s="19" t="s">
        <v>1527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ht="12.5">
      <c r="A616" s="19" t="s">
        <v>4755</v>
      </c>
      <c r="B616" s="19" t="s">
        <v>3725</v>
      </c>
      <c r="C616" s="19" t="str">
        <f t="shared" si="9"/>
        <v>Ah Long</v>
      </c>
      <c r="D616" s="19" t="s">
        <v>1489</v>
      </c>
      <c r="E616" s="19" t="s">
        <v>3630</v>
      </c>
      <c r="F616" s="19" t="s">
        <v>4</v>
      </c>
      <c r="G616" s="19" t="s">
        <v>3631</v>
      </c>
      <c r="H616" s="19" t="s">
        <v>1493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ht="12.5">
      <c r="A617" s="19" t="s">
        <v>522</v>
      </c>
      <c r="B617" s="19" t="s">
        <v>1503</v>
      </c>
      <c r="C617" s="19" t="str">
        <f t="shared" si="9"/>
        <v>Lawrence -</v>
      </c>
      <c r="D617" s="19" t="s">
        <v>1489</v>
      </c>
      <c r="E617" s="19" t="s">
        <v>1591</v>
      </c>
      <c r="F617" s="19" t="s">
        <v>4</v>
      </c>
      <c r="G617" s="19" t="s">
        <v>1493</v>
      </c>
      <c r="H617" s="19">
        <v>86134513</v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ht="12.5">
      <c r="A618" s="19" t="s">
        <v>694</v>
      </c>
      <c r="B618" s="19" t="s">
        <v>1503</v>
      </c>
      <c r="C618" s="19" t="str">
        <f t="shared" si="9"/>
        <v>John -</v>
      </c>
      <c r="D618" s="19" t="s">
        <v>1489</v>
      </c>
      <c r="E618" s="19" t="s">
        <v>3632</v>
      </c>
      <c r="F618" s="19" t="s">
        <v>4</v>
      </c>
      <c r="G618" s="19" t="s">
        <v>3633</v>
      </c>
      <c r="H618" s="19">
        <v>91191123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ht="12.5">
      <c r="A619" s="19" t="s">
        <v>487</v>
      </c>
      <c r="B619" s="19" t="s">
        <v>698</v>
      </c>
      <c r="C619" s="19" t="str">
        <f t="shared" si="9"/>
        <v>Andy Lau</v>
      </c>
      <c r="D619" s="19" t="s">
        <v>1489</v>
      </c>
      <c r="E619" s="19" t="s">
        <v>3634</v>
      </c>
      <c r="F619" s="19" t="s">
        <v>4</v>
      </c>
      <c r="G619" s="19" t="s">
        <v>3618</v>
      </c>
      <c r="H619" s="19">
        <v>93277607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ht="12.5">
      <c r="A620" s="19" t="s">
        <v>4756</v>
      </c>
      <c r="B620" s="19" t="s">
        <v>4802</v>
      </c>
      <c r="C620" s="19" t="str">
        <f t="shared" si="9"/>
        <v>Tulug Ozgur</v>
      </c>
      <c r="D620" s="19" t="s">
        <v>1489</v>
      </c>
      <c r="E620" s="19" t="s">
        <v>3635</v>
      </c>
      <c r="F620" s="19" t="s">
        <v>4</v>
      </c>
      <c r="G620" s="19" t="s">
        <v>3636</v>
      </c>
      <c r="H620" s="19">
        <v>419748475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ht="12.5">
      <c r="A621" s="19" t="s">
        <v>1503</v>
      </c>
      <c r="B621" s="19" t="s">
        <v>1503</v>
      </c>
      <c r="C621" s="19" t="str">
        <f t="shared" si="9"/>
        <v>- -</v>
      </c>
      <c r="D621" s="19" t="s">
        <v>1489</v>
      </c>
      <c r="E621" s="19" t="s">
        <v>3630</v>
      </c>
      <c r="F621" s="19" t="s">
        <v>4</v>
      </c>
      <c r="G621" s="19" t="s">
        <v>1493</v>
      </c>
      <c r="H621" s="19">
        <v>84813422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ht="12.5">
      <c r="A622" s="19" t="s">
        <v>4757</v>
      </c>
      <c r="B622" s="19" t="s">
        <v>4803</v>
      </c>
      <c r="C622" s="19" t="str">
        <f t="shared" si="9"/>
        <v>Zuraina Rashidi</v>
      </c>
      <c r="D622" s="19" t="s">
        <v>1489</v>
      </c>
      <c r="E622" s="19" t="s">
        <v>3637</v>
      </c>
      <c r="F622" s="19" t="s">
        <v>4</v>
      </c>
      <c r="G622" s="19" t="s">
        <v>3638</v>
      </c>
      <c r="H622" s="19">
        <v>189110116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ht="12.5">
      <c r="A623" s="19" t="s">
        <v>3983</v>
      </c>
      <c r="B623" s="19" t="s">
        <v>916</v>
      </c>
      <c r="C623" s="19" t="str">
        <f t="shared" si="9"/>
        <v>Bharadh Na</v>
      </c>
      <c r="D623" s="19" t="s">
        <v>1489</v>
      </c>
      <c r="E623" s="19" t="s">
        <v>3639</v>
      </c>
      <c r="F623" s="19" t="s">
        <v>4</v>
      </c>
      <c r="G623" s="19" t="s">
        <v>3640</v>
      </c>
      <c r="H623" s="19" t="s">
        <v>3641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ht="12.5">
      <c r="A624" s="19" t="s">
        <v>4406</v>
      </c>
      <c r="B624" s="19" t="s">
        <v>4804</v>
      </c>
      <c r="C624" s="19" t="str">
        <f t="shared" si="9"/>
        <v>Kelvin Ngian</v>
      </c>
      <c r="D624" s="19" t="s">
        <v>1489</v>
      </c>
      <c r="E624" s="19" t="s">
        <v>3642</v>
      </c>
      <c r="F624" s="19" t="s">
        <v>4</v>
      </c>
      <c r="G624" s="19" t="s">
        <v>3643</v>
      </c>
      <c r="H624" s="19">
        <v>96997325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ht="12.5">
      <c r="A625" s="19" t="s">
        <v>842</v>
      </c>
      <c r="B625" s="19" t="s">
        <v>842</v>
      </c>
      <c r="C625" s="19" t="str">
        <f t="shared" si="9"/>
        <v>NA NA</v>
      </c>
      <c r="D625" s="19" t="s">
        <v>1489</v>
      </c>
      <c r="E625" s="19" t="s">
        <v>1645</v>
      </c>
      <c r="F625" s="19" t="s">
        <v>4</v>
      </c>
      <c r="G625" s="19" t="s">
        <v>1527</v>
      </c>
      <c r="H625" s="19">
        <v>96227727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ht="23">
      <c r="A626" s="19" t="s">
        <v>4758</v>
      </c>
      <c r="B626" s="19" t="s">
        <v>4805</v>
      </c>
      <c r="C626" s="19" t="str">
        <f t="shared" si="9"/>
        <v>Kala Mishra</v>
      </c>
      <c r="D626" s="19" t="s">
        <v>1489</v>
      </c>
      <c r="E626" s="19" t="s">
        <v>3644</v>
      </c>
      <c r="F626" s="19" t="s">
        <v>4</v>
      </c>
      <c r="G626" s="19" t="s">
        <v>3645</v>
      </c>
      <c r="H626" s="19">
        <v>94509148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ht="12.5">
      <c r="A627" s="19" t="s">
        <v>923</v>
      </c>
      <c r="B627" s="19" t="s">
        <v>842</v>
      </c>
      <c r="C627" s="19" t="str">
        <f t="shared" si="9"/>
        <v>Ariel NA</v>
      </c>
      <c r="D627" s="19" t="s">
        <v>1489</v>
      </c>
      <c r="E627" s="19" t="s">
        <v>3646</v>
      </c>
      <c r="F627" s="19" t="s">
        <v>4</v>
      </c>
      <c r="G627" s="19"/>
      <c r="H627" s="19" t="s">
        <v>3647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ht="12.5">
      <c r="A628" s="19" t="s">
        <v>529</v>
      </c>
      <c r="B628" s="19" t="s">
        <v>4394</v>
      </c>
      <c r="C628" s="19" t="str">
        <f t="shared" si="9"/>
        <v xml:space="preserve">Robert </v>
      </c>
      <c r="D628" s="19" t="s">
        <v>1489</v>
      </c>
      <c r="E628" s="19" t="s">
        <v>3648</v>
      </c>
      <c r="F628" s="19" t="s">
        <v>4</v>
      </c>
      <c r="G628" s="19" t="s">
        <v>1493</v>
      </c>
      <c r="H628" s="19">
        <v>98643210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ht="34.5">
      <c r="A629" s="19" t="s">
        <v>4759</v>
      </c>
      <c r="B629" s="19" t="s">
        <v>4806</v>
      </c>
      <c r="C629" s="19" t="str">
        <f t="shared" si="9"/>
        <v>Tike Kee</v>
      </c>
      <c r="D629" s="19" t="s">
        <v>1489</v>
      </c>
      <c r="E629" s="19" t="s">
        <v>3649</v>
      </c>
      <c r="F629" s="19" t="s">
        <v>4</v>
      </c>
      <c r="G629" s="19" t="s">
        <v>3650</v>
      </c>
      <c r="H629" s="19">
        <v>96629401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ht="12.5">
      <c r="A630" s="19" t="s">
        <v>916</v>
      </c>
      <c r="B630" s="19" t="s">
        <v>916</v>
      </c>
      <c r="C630" s="19" t="str">
        <f t="shared" si="9"/>
        <v>Na Na</v>
      </c>
      <c r="D630" s="19" t="s">
        <v>1489</v>
      </c>
      <c r="E630" s="19" t="s">
        <v>3651</v>
      </c>
      <c r="F630" s="19" t="s">
        <v>4</v>
      </c>
      <c r="G630" s="19" t="s">
        <v>1527</v>
      </c>
      <c r="H630" s="19" t="s">
        <v>3652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ht="12.5">
      <c r="A631" s="19" t="s">
        <v>4760</v>
      </c>
      <c r="B631" s="19" t="s">
        <v>630</v>
      </c>
      <c r="C631" s="19" t="str">
        <f t="shared" si="9"/>
        <v>Madeline Tay</v>
      </c>
      <c r="D631" s="19" t="s">
        <v>1489</v>
      </c>
      <c r="E631" s="19" t="s">
        <v>3653</v>
      </c>
      <c r="F631" s="19" t="s">
        <v>4</v>
      </c>
      <c r="G631" s="19" t="s">
        <v>3654</v>
      </c>
      <c r="H631" s="19">
        <v>94372826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ht="12.5">
      <c r="A632" s="19" t="s">
        <v>916</v>
      </c>
      <c r="B632" s="19" t="s">
        <v>842</v>
      </c>
      <c r="C632" s="19" t="str">
        <f t="shared" si="9"/>
        <v>Na NA</v>
      </c>
      <c r="D632" s="19" t="s">
        <v>1489</v>
      </c>
      <c r="E632" s="19" t="s">
        <v>3655</v>
      </c>
      <c r="F632" s="19" t="s">
        <v>4</v>
      </c>
      <c r="G632" s="19" t="s">
        <v>1493</v>
      </c>
      <c r="H632" s="19">
        <v>87817000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ht="12.5">
      <c r="A633" s="19" t="s">
        <v>3721</v>
      </c>
      <c r="B633" s="19" t="s">
        <v>842</v>
      </c>
      <c r="C633" s="19" t="str">
        <f t="shared" si="9"/>
        <v>Steven NA</v>
      </c>
      <c r="D633" s="19" t="s">
        <v>1489</v>
      </c>
      <c r="E633" s="19" t="s">
        <v>1527</v>
      </c>
      <c r="F633" s="19" t="s">
        <v>4</v>
      </c>
      <c r="G633" s="19" t="s">
        <v>1493</v>
      </c>
      <c r="H633" s="19" t="s">
        <v>1493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ht="12.5">
      <c r="A634" s="19" t="s">
        <v>4761</v>
      </c>
      <c r="B634" s="19" t="s">
        <v>842</v>
      </c>
      <c r="C634" s="19" t="str">
        <f t="shared" si="9"/>
        <v>Jerry NA</v>
      </c>
      <c r="D634" s="19" t="s">
        <v>1489</v>
      </c>
      <c r="E634" s="19" t="s">
        <v>3656</v>
      </c>
      <c r="F634" s="19" t="s">
        <v>4</v>
      </c>
      <c r="G634" s="19" t="s">
        <v>3657</v>
      </c>
      <c r="H634" s="19" t="s">
        <v>1493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ht="12.5">
      <c r="A635" s="19" t="s">
        <v>895</v>
      </c>
      <c r="B635" s="19" t="s">
        <v>842</v>
      </c>
      <c r="C635" s="19" t="str">
        <f t="shared" si="9"/>
        <v>Billy NA</v>
      </c>
      <c r="D635" s="19" t="s">
        <v>1489</v>
      </c>
      <c r="E635" s="19"/>
      <c r="F635" s="19" t="s">
        <v>4</v>
      </c>
      <c r="G635" s="19" t="s">
        <v>3658</v>
      </c>
      <c r="H635" s="19" t="s">
        <v>1527</v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ht="12.5">
      <c r="A636" s="19" t="s">
        <v>842</v>
      </c>
      <c r="B636" s="19" t="s">
        <v>842</v>
      </c>
      <c r="C636" s="19" t="str">
        <f t="shared" si="9"/>
        <v>NA NA</v>
      </c>
      <c r="D636" s="19" t="s">
        <v>1489</v>
      </c>
      <c r="E636" s="19" t="s">
        <v>3659</v>
      </c>
      <c r="F636" s="19" t="s">
        <v>4</v>
      </c>
      <c r="G636" s="19" t="s">
        <v>1493</v>
      </c>
      <c r="H636" s="19">
        <v>97313133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ht="23">
      <c r="A637" s="19" t="s">
        <v>3685</v>
      </c>
      <c r="B637" s="19" t="s">
        <v>945</v>
      </c>
      <c r="C637" s="19" t="str">
        <f t="shared" si="9"/>
        <v>Gary Yang</v>
      </c>
      <c r="D637" s="19" t="s">
        <v>1489</v>
      </c>
      <c r="E637" s="19" t="s">
        <v>3660</v>
      </c>
      <c r="F637" s="19" t="s">
        <v>4</v>
      </c>
      <c r="G637" s="19" t="s">
        <v>3661</v>
      </c>
      <c r="H637" s="19" t="s">
        <v>3662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ht="12.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ht="12.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ht="12.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ht="12.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ht="12.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ht="12.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ht="12.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ht="12.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ht="12.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ht="12.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ht="12.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ht="12.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ht="12.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ht="12.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ht="12.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ht="12.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ht="12.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ht="12.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ht="12.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ht="12.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ht="12.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ht="12.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ht="12.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ht="12.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ht="12.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ht="12.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ht="12.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ht="12.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ht="12.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ht="12.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ht="12.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ht="12.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ht="12.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ht="12.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ht="12.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ht="12.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ht="12.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ht="12.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ht="12.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ht="12.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ht="12.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ht="12.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ht="12.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ht="12.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ht="12.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ht="12.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ht="12.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ht="12.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ht="12.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ht="12.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ht="12.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ht="12.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ht="12.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ht="12.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ht="12.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ht="12.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ht="12.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ht="12.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ht="12.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ht="12.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ht="12.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ht="12.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ht="12.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ht="12.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ht="12.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ht="12.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ht="12.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ht="12.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ht="12.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ht="12.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ht="12.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ht="12.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ht="12.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ht="12.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ht="12.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ht="12.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ht="12.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ht="12.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ht="12.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ht="12.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ht="12.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ht="12.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ht="12.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ht="12.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ht="12.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ht="12.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ht="12.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ht="12.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ht="12.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ht="12.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ht="12.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ht="12.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ht="12.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ht="12.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ht="12.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ht="12.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ht="12.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ht="12.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ht="12.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ht="12.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ht="12.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ht="12.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ht="12.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ht="12.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ht="12.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ht="12.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ht="12.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ht="12.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ht="12.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ht="12.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ht="12.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ht="12.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ht="12.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ht="12.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ht="12.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ht="12.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ht="12.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ht="12.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ht="12.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ht="12.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ht="12.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ht="12.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ht="12.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ht="12.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ht="12.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ht="12.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ht="12.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ht="12.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ht="12.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ht="12.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ht="12.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ht="12.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ht="12.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ht="12.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ht="12.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ht="12.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ht="12.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ht="12.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ht="12.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ht="12.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ht="12.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ht="12.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ht="12.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ht="12.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ht="12.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ht="12.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ht="12.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ht="12.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ht="12.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ht="12.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ht="12.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ht="12.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ht="12.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ht="12.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ht="12.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ht="12.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ht="12.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ht="12.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ht="12.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ht="12.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ht="12.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ht="12.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ht="12.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ht="12.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ht="12.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ht="12.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ht="12.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ht="12.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ht="12.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ht="12.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ht="12.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ht="12.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ht="12.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ht="12.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ht="12.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ht="12.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ht="12.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ht="12.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ht="12.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ht="12.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ht="12.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ht="12.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ht="12.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ht="12.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ht="12.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ht="12.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ht="12.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ht="12.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ht="12.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ht="12.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ht="12.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ht="12.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ht="12.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ht="12.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ht="12.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ht="12.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ht="12.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ht="12.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ht="12.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ht="12.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ht="12.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ht="12.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ht="12.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ht="12.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ht="12.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ht="12.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ht="12.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ht="12.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ht="12.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ht="12.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ht="12.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ht="12.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ht="12.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ht="12.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ht="12.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ht="12.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ht="12.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ht="12.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ht="12.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ht="12.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ht="12.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ht="12.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ht="12.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ht="12.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ht="12.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ht="12.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ht="12.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ht="12.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ht="12.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ht="12.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ht="12.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ht="12.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ht="12.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ht="12.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ht="12.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ht="12.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ht="12.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ht="12.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ht="12.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ht="12.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ht="12.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ht="12.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ht="12.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ht="12.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ht="12.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ht="12.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ht="12.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ht="12.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ht="12.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ht="12.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ht="12.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ht="12.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ht="12.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ht="12.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ht="12.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ht="12.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ht="12.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ht="12.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ht="12.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ht="12.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ht="12.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ht="12.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ht="12.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ht="12.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ht="12.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ht="12.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ht="12.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ht="12.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ht="12.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ht="12.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ht="12.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ht="12.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ht="12.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ht="12.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ht="12.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ht="12.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ht="12.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ht="12.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ht="12.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ht="12.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ht="12.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ht="12.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ht="12.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ht="12.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ht="12.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ht="12.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ht="12.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ht="12.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ht="12.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ht="12.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ht="12.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ht="12.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ht="12.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ht="12.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ht="12.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ht="12.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ht="12.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ht="12.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ht="12.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ht="12.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ht="12.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ht="12.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ht="12.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ht="12.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ht="12.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ht="12.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ht="12.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ht="12.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ht="12.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ht="12.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ht="12.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ht="12.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ht="12.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ht="12.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ht="12.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ht="12.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ht="12.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ht="12.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ht="12.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ht="12.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ht="12.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ht="12.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ht="12.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ht="12.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ht="12.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ht="12.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ht="12.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ht="12.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ht="12.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ht="12.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ht="12.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ht="12.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ht="12.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ht="12.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ht="12.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ht="12.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ht="12.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ht="12.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ht="12.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ht="12.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ht="12.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ht="12.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ht="12.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ht="12.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ht="12.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ht="12.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ht="12.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ht="12.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ht="12.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ht="12.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ht="12.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ht="12.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ht="12.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ht="12.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ht="12.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ht="12.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:20" ht="12.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:20" ht="12.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:20" ht="12.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:20" ht="12.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:20" ht="12.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:20" ht="12.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:20" ht="12.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</sheetData>
  <autoFilter ref="A1:T1" xr:uid="{00000000-0001-0000-0400-000000000000}"/>
  <hyperlinks>
    <hyperlink ref="G2" r:id="rId1" xr:uid="{00000000-0004-0000-0400-000000000000}"/>
    <hyperlink ref="G25" r:id="rId2" xr:uid="{00000000-0004-0000-0400-000001000000}"/>
    <hyperlink ref="G26" r:id="rId3" xr:uid="{00000000-0004-0000-0400-000002000000}"/>
    <hyperlink ref="G31" r:id="rId4" xr:uid="{00000000-0004-0000-0400-000003000000}"/>
    <hyperlink ref="G38" r:id="rId5" xr:uid="{00000000-0004-0000-0400-000004000000}"/>
    <hyperlink ref="G41" r:id="rId6" xr:uid="{00000000-0004-0000-0400-000005000000}"/>
    <hyperlink ref="G97" r:id="rId7" xr:uid="{00000000-0004-0000-0400-000006000000}"/>
    <hyperlink ref="G98" r:id="rId8" xr:uid="{00000000-0004-0000-0400-000007000000}"/>
    <hyperlink ref="G112" r:id="rId9" xr:uid="{00000000-0004-0000-0400-000008000000}"/>
    <hyperlink ref="G117" r:id="rId10" xr:uid="{00000000-0004-0000-0400-000009000000}"/>
    <hyperlink ref="G119" r:id="rId11" xr:uid="{00000000-0004-0000-0400-00000A000000}"/>
    <hyperlink ref="G127" r:id="rId12" xr:uid="{00000000-0004-0000-0400-00000B000000}"/>
    <hyperlink ref="H127" r:id="rId13" xr:uid="{00000000-0004-0000-0400-00000C000000}"/>
    <hyperlink ref="G137" r:id="rId14" xr:uid="{00000000-0004-0000-0400-00000D000000}"/>
    <hyperlink ref="E171" r:id="rId15" xr:uid="{00000000-0004-0000-0400-00000E000000}"/>
    <hyperlink ref="E172" r:id="rId16" xr:uid="{00000000-0004-0000-0400-00000F000000}"/>
    <hyperlink ref="G172" r:id="rId17" xr:uid="{00000000-0004-0000-0400-000010000000}"/>
    <hyperlink ref="G174" r:id="rId18" xr:uid="{00000000-0004-0000-0400-000011000000}"/>
    <hyperlink ref="G176" r:id="rId19" location="response=ACYDBNjlHZxj7mrttAn4eb2yXU0O0XTOjsrKuRlNU4ttSH-p1Kc-a5fYXVR9UzjG38ldeOo" xr:uid="{00000000-0004-0000-0400-000012000000}"/>
    <hyperlink ref="G219" r:id="rId20" xr:uid="{00000000-0004-0000-0400-000013000000}"/>
    <hyperlink ref="G220" r:id="rId21" xr:uid="{00000000-0004-0000-0400-000014000000}"/>
    <hyperlink ref="G234" r:id="rId22" xr:uid="{00000000-0004-0000-0400-000015000000}"/>
    <hyperlink ref="G328" r:id="rId23" xr:uid="{00000000-0004-0000-0400-000016000000}"/>
    <hyperlink ref="G332" r:id="rId24" xr:uid="{00000000-0004-0000-0400-000017000000}"/>
    <hyperlink ref="G339" r:id="rId25" xr:uid="{00000000-0004-0000-0400-000018000000}"/>
    <hyperlink ref="G367" r:id="rId26" xr:uid="{00000000-0004-0000-0400-000019000000}"/>
    <hyperlink ref="G390" r:id="rId27" xr:uid="{00000000-0004-0000-0400-00001A000000}"/>
    <hyperlink ref="G409" r:id="rId28" xr:uid="{00000000-0004-0000-0400-00001B000000}"/>
    <hyperlink ref="G417" r:id="rId29" xr:uid="{00000000-0004-0000-0400-00001C000000}"/>
    <hyperlink ref="G421" r:id="rId30" xr:uid="{00000000-0004-0000-0400-00001D000000}"/>
    <hyperlink ref="E479" r:id="rId31" xr:uid="{00000000-0004-0000-0400-00001E000000}"/>
    <hyperlink ref="G577" r:id="rId32" xr:uid="{00000000-0004-0000-0400-00001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16"/>
  <sheetViews>
    <sheetView workbookViewId="0">
      <selection activeCell="G1" sqref="G1"/>
    </sheetView>
  </sheetViews>
  <sheetFormatPr defaultColWidth="12.6328125" defaultRowHeight="15.75" customHeight="1"/>
  <cols>
    <col min="6" max="6" width="29.453125" customWidth="1"/>
    <col min="8" max="8" width="17" customWidth="1"/>
  </cols>
  <sheetData>
    <row r="1" spans="1:21" ht="26">
      <c r="A1" s="17" t="s">
        <v>1485</v>
      </c>
      <c r="B1" s="17" t="s">
        <v>1486</v>
      </c>
      <c r="C1" s="17" t="s">
        <v>4391</v>
      </c>
      <c r="D1" s="17" t="s">
        <v>4388</v>
      </c>
      <c r="E1" s="17" t="s">
        <v>327</v>
      </c>
      <c r="F1" s="17" t="s">
        <v>4389</v>
      </c>
      <c r="G1" s="17" t="s">
        <v>4390</v>
      </c>
      <c r="H1" s="17" t="s">
        <v>3663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13">
      <c r="A2" s="22" t="s">
        <v>3664</v>
      </c>
      <c r="B2" s="22" t="s">
        <v>3665</v>
      </c>
      <c r="C2" s="22" t="str">
        <f>_xlfn.CONCAT(A2," ",B2)</f>
        <v>Jayss Rajoo</v>
      </c>
      <c r="D2" s="22" t="s">
        <v>3666</v>
      </c>
      <c r="E2" s="22" t="s">
        <v>4</v>
      </c>
      <c r="F2" s="22" t="s">
        <v>3667</v>
      </c>
      <c r="G2" s="22">
        <v>63387668</v>
      </c>
      <c r="H2" s="22" t="s">
        <v>3668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13">
      <c r="A3" s="22" t="s">
        <v>3669</v>
      </c>
      <c r="B3" s="22" t="s">
        <v>3670</v>
      </c>
      <c r="C3" s="22" t="str">
        <f t="shared" ref="C3:C66" si="0">_xlfn.CONCAT(A3," ",B3)</f>
        <v>Dave Acton</v>
      </c>
      <c r="D3" s="22" t="s">
        <v>3671</v>
      </c>
      <c r="E3" s="22" t="s">
        <v>4</v>
      </c>
      <c r="F3" s="22" t="s">
        <v>3672</v>
      </c>
      <c r="G3" s="22">
        <v>96973443</v>
      </c>
      <c r="H3" s="22" t="s">
        <v>3668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3">
      <c r="A4" s="22" t="s">
        <v>744</v>
      </c>
      <c r="B4" s="22" t="s">
        <v>3673</v>
      </c>
      <c r="C4" s="22" t="str">
        <f t="shared" si="0"/>
        <v>Chan Kiat</v>
      </c>
      <c r="D4" s="22" t="s">
        <v>3674</v>
      </c>
      <c r="E4" s="22" t="s">
        <v>4</v>
      </c>
      <c r="F4" s="22" t="s">
        <v>3675</v>
      </c>
      <c r="G4" s="22">
        <v>96288101</v>
      </c>
      <c r="H4" s="22" t="s">
        <v>3668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26">
      <c r="A5" s="22" t="s">
        <v>2867</v>
      </c>
      <c r="B5" s="22" t="s">
        <v>356</v>
      </c>
      <c r="C5" s="22" t="str">
        <f t="shared" si="0"/>
        <v>Albert Kong</v>
      </c>
      <c r="D5" s="22" t="s">
        <v>3676</v>
      </c>
      <c r="E5" s="22" t="s">
        <v>4</v>
      </c>
      <c r="F5" s="22" t="s">
        <v>3677</v>
      </c>
      <c r="G5" s="22">
        <v>6596793947</v>
      </c>
      <c r="H5" s="22" t="s">
        <v>3668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13">
      <c r="A6" s="22" t="s">
        <v>3678</v>
      </c>
      <c r="B6" s="22" t="s">
        <v>3679</v>
      </c>
      <c r="C6" s="22" t="str">
        <f t="shared" si="0"/>
        <v>Sarah Loke</v>
      </c>
      <c r="D6" s="22" t="s">
        <v>3680</v>
      </c>
      <c r="E6" s="22" t="s">
        <v>4</v>
      </c>
      <c r="F6" s="22" t="s">
        <v>3681</v>
      </c>
      <c r="G6" s="22">
        <v>67447732</v>
      </c>
      <c r="H6" s="22" t="s">
        <v>3668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6">
      <c r="A7" s="22" t="s">
        <v>821</v>
      </c>
      <c r="B7" s="22" t="s">
        <v>3682</v>
      </c>
      <c r="C7" s="22" t="str">
        <f t="shared" si="0"/>
        <v>Lee Zhuang</v>
      </c>
      <c r="D7" s="22" t="s">
        <v>3683</v>
      </c>
      <c r="E7" s="22" t="s">
        <v>4</v>
      </c>
      <c r="F7" s="22" t="s">
        <v>3684</v>
      </c>
      <c r="G7" s="22">
        <v>91058835</v>
      </c>
      <c r="H7" s="22" t="s">
        <v>3668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26">
      <c r="A8" s="22" t="s">
        <v>3685</v>
      </c>
      <c r="B8" s="22" t="s">
        <v>3686</v>
      </c>
      <c r="C8" s="22" t="str">
        <f t="shared" si="0"/>
        <v>Gary Murray</v>
      </c>
      <c r="D8" s="22" t="s">
        <v>3687</v>
      </c>
      <c r="E8" s="22" t="s">
        <v>4</v>
      </c>
      <c r="F8" s="22" t="s">
        <v>3688</v>
      </c>
      <c r="G8" s="22">
        <v>93385901</v>
      </c>
      <c r="H8" s="22" t="s">
        <v>3668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13">
      <c r="A9" s="22" t="s">
        <v>1065</v>
      </c>
      <c r="B9" s="22" t="s">
        <v>3689</v>
      </c>
      <c r="C9" s="22" t="str">
        <f t="shared" si="0"/>
        <v>Keith Brown</v>
      </c>
      <c r="D9" s="22" t="s">
        <v>3690</v>
      </c>
      <c r="E9" s="22" t="s">
        <v>4</v>
      </c>
      <c r="F9" s="22" t="s">
        <v>3691</v>
      </c>
      <c r="G9" s="22">
        <v>6597957729</v>
      </c>
      <c r="H9" s="22" t="s">
        <v>3668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6">
      <c r="A10" s="22" t="s">
        <v>3692</v>
      </c>
      <c r="B10" s="22" t="s">
        <v>3693</v>
      </c>
      <c r="C10" s="22" t="str">
        <f t="shared" si="0"/>
        <v>Kyaw Kyaw Oo</v>
      </c>
      <c r="D10" s="22" t="s">
        <v>3694</v>
      </c>
      <c r="E10" s="22" t="s">
        <v>4</v>
      </c>
      <c r="F10" s="22" t="s">
        <v>3695</v>
      </c>
      <c r="G10" s="22" t="s">
        <v>3696</v>
      </c>
      <c r="H10" s="22" t="s">
        <v>3668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13">
      <c r="A11" s="22" t="s">
        <v>3697</v>
      </c>
      <c r="B11" s="22" t="s">
        <v>3698</v>
      </c>
      <c r="C11" s="22" t="str">
        <f t="shared" si="0"/>
        <v>Rod Fowler</v>
      </c>
      <c r="D11" s="22" t="s">
        <v>3699</v>
      </c>
      <c r="E11" s="22" t="s">
        <v>4</v>
      </c>
      <c r="F11" s="22" t="s">
        <v>3700</v>
      </c>
      <c r="G11" s="22">
        <v>61423455666</v>
      </c>
      <c r="H11" s="22" t="s">
        <v>3668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3">
      <c r="A12" s="22" t="s">
        <v>3701</v>
      </c>
      <c r="B12" s="22" t="s">
        <v>3702</v>
      </c>
      <c r="C12" s="22" t="str">
        <f t="shared" si="0"/>
        <v>Benji Antony</v>
      </c>
      <c r="D12" s="22" t="s">
        <v>3703</v>
      </c>
      <c r="E12" s="22" t="s">
        <v>4</v>
      </c>
      <c r="F12" s="22" t="s">
        <v>3704</v>
      </c>
      <c r="G12" s="22">
        <v>96353235</v>
      </c>
      <c r="H12" s="22" t="s">
        <v>3668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3">
      <c r="A13" s="22" t="s">
        <v>3705</v>
      </c>
      <c r="B13" s="22" t="s">
        <v>821</v>
      </c>
      <c r="C13" s="22" t="str">
        <f t="shared" si="0"/>
        <v>Lynette Lee</v>
      </c>
      <c r="D13" s="22" t="s">
        <v>3706</v>
      </c>
      <c r="E13" s="22" t="s">
        <v>4</v>
      </c>
      <c r="F13" s="22" t="s">
        <v>3707</v>
      </c>
      <c r="G13" s="22">
        <v>8888888</v>
      </c>
      <c r="H13" s="22" t="s">
        <v>3668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6">
      <c r="A14" s="22" t="s">
        <v>3708</v>
      </c>
      <c r="B14" s="22" t="s">
        <v>3709</v>
      </c>
      <c r="C14" s="22" t="str">
        <f t="shared" si="0"/>
        <v>sock leng ling</v>
      </c>
      <c r="D14" s="22" t="s">
        <v>3710</v>
      </c>
      <c r="E14" s="22" t="s">
        <v>4</v>
      </c>
      <c r="F14" s="22" t="s">
        <v>3711</v>
      </c>
      <c r="G14" s="22">
        <v>90286768</v>
      </c>
      <c r="H14" s="22" t="s">
        <v>3668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13">
      <c r="A15" s="22" t="s">
        <v>3712</v>
      </c>
      <c r="B15" s="22" t="s">
        <v>3713</v>
      </c>
      <c r="C15" s="22" t="str">
        <f t="shared" si="0"/>
        <v>Rachel Aw</v>
      </c>
      <c r="D15" s="22" t="s">
        <v>3714</v>
      </c>
      <c r="E15" s="22" t="s">
        <v>4</v>
      </c>
      <c r="F15" s="22" t="s">
        <v>3715</v>
      </c>
      <c r="G15" s="22">
        <v>68871308</v>
      </c>
      <c r="H15" s="22" t="s">
        <v>3668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13">
      <c r="A16" s="22" t="s">
        <v>958</v>
      </c>
      <c r="B16" s="22" t="s">
        <v>2298</v>
      </c>
      <c r="C16" s="22" t="str">
        <f t="shared" si="0"/>
        <v>Lester Toh</v>
      </c>
      <c r="D16" s="22" t="s">
        <v>3716</v>
      </c>
      <c r="E16" s="22" t="s">
        <v>4</v>
      </c>
      <c r="F16" s="22" t="s">
        <v>3717</v>
      </c>
      <c r="G16" s="22">
        <v>92391516</v>
      </c>
      <c r="H16" s="22" t="s">
        <v>3668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13">
      <c r="A17" s="22" t="s">
        <v>2899</v>
      </c>
      <c r="B17" s="22" t="s">
        <v>3718</v>
      </c>
      <c r="C17" s="22" t="str">
        <f t="shared" si="0"/>
        <v>Marcus Jila</v>
      </c>
      <c r="D17" s="22" t="s">
        <v>3719</v>
      </c>
      <c r="E17" s="22" t="s">
        <v>4</v>
      </c>
      <c r="F17" s="22" t="s">
        <v>3720</v>
      </c>
      <c r="G17" s="22">
        <v>91377340</v>
      </c>
      <c r="H17" s="22" t="s">
        <v>3668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39">
      <c r="A18" s="22" t="s">
        <v>3721</v>
      </c>
      <c r="B18" s="22" t="s">
        <v>349</v>
      </c>
      <c r="C18" s="22" t="str">
        <f t="shared" si="0"/>
        <v>Steven Chang</v>
      </c>
      <c r="D18" s="22" t="s">
        <v>3722</v>
      </c>
      <c r="E18" s="22" t="s">
        <v>4</v>
      </c>
      <c r="F18" s="22" t="s">
        <v>3723</v>
      </c>
      <c r="G18" s="22">
        <v>96697633</v>
      </c>
      <c r="H18" s="22" t="s">
        <v>3668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13">
      <c r="A19" s="22" t="s">
        <v>3724</v>
      </c>
      <c r="B19" s="22" t="s">
        <v>3725</v>
      </c>
      <c r="C19" s="22" t="str">
        <f t="shared" si="0"/>
        <v>Winsten Long</v>
      </c>
      <c r="D19" s="22" t="s">
        <v>3726</v>
      </c>
      <c r="E19" s="22" t="s">
        <v>4</v>
      </c>
      <c r="F19" s="22" t="s">
        <v>3727</v>
      </c>
      <c r="G19" s="22">
        <v>62323773</v>
      </c>
      <c r="H19" s="22" t="s">
        <v>3668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26">
      <c r="A20" s="22" t="s">
        <v>487</v>
      </c>
      <c r="B20" s="22" t="s">
        <v>3728</v>
      </c>
      <c r="C20" s="22" t="str">
        <f t="shared" si="0"/>
        <v>Andy Lew</v>
      </c>
      <c r="D20" s="22" t="s">
        <v>3729</v>
      </c>
      <c r="E20" s="22" t="s">
        <v>4</v>
      </c>
      <c r="F20" s="22" t="s">
        <v>3730</v>
      </c>
      <c r="G20" s="22">
        <v>66347633</v>
      </c>
      <c r="H20" s="22" t="s">
        <v>3668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13">
      <c r="A21" s="22" t="s">
        <v>3731</v>
      </c>
      <c r="B21" s="22" t="s">
        <v>821</v>
      </c>
      <c r="C21" s="22" t="str">
        <f t="shared" si="0"/>
        <v>Philip Lee</v>
      </c>
      <c r="D21" s="22" t="s">
        <v>3732</v>
      </c>
      <c r="E21" s="22" t="s">
        <v>4</v>
      </c>
      <c r="F21" s="22" t="s">
        <v>3733</v>
      </c>
      <c r="G21" s="22">
        <v>62832722</v>
      </c>
      <c r="H21" s="22" t="s">
        <v>3668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39">
      <c r="A22" s="22" t="s">
        <v>3734</v>
      </c>
      <c r="B22" s="22" t="s">
        <v>3735</v>
      </c>
      <c r="C22" s="22" t="str">
        <f t="shared" si="0"/>
        <v>Henning Wittchen</v>
      </c>
      <c r="D22" s="22" t="s">
        <v>3736</v>
      </c>
      <c r="E22" s="22" t="s">
        <v>4</v>
      </c>
      <c r="F22" s="22" t="s">
        <v>3737</v>
      </c>
      <c r="G22" s="22">
        <v>6596195564</v>
      </c>
      <c r="H22" s="22" t="s">
        <v>3668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13">
      <c r="A23" s="22" t="s">
        <v>3738</v>
      </c>
      <c r="B23" s="22" t="s">
        <v>1209</v>
      </c>
      <c r="C23" s="22" t="str">
        <f t="shared" si="0"/>
        <v>coco Wang</v>
      </c>
      <c r="D23" s="22" t="s">
        <v>3739</v>
      </c>
      <c r="E23" s="22" t="s">
        <v>4</v>
      </c>
      <c r="F23" s="22" t="s">
        <v>3740</v>
      </c>
      <c r="G23" s="22">
        <v>83210776</v>
      </c>
      <c r="H23" s="22" t="s">
        <v>3668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13">
      <c r="A24" s="22" t="s">
        <v>652</v>
      </c>
      <c r="B24" s="22" t="s">
        <v>3741</v>
      </c>
      <c r="C24" s="22" t="str">
        <f t="shared" si="0"/>
        <v>Andrew Norton</v>
      </c>
      <c r="D24" s="22" t="s">
        <v>3742</v>
      </c>
      <c r="E24" s="22" t="s">
        <v>4</v>
      </c>
      <c r="F24" s="22" t="s">
        <v>3743</v>
      </c>
      <c r="G24" s="22">
        <v>6620300079</v>
      </c>
      <c r="H24" s="22" t="s">
        <v>3668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13">
      <c r="A25" s="22" t="s">
        <v>3744</v>
      </c>
      <c r="B25" s="22" t="s">
        <v>1153</v>
      </c>
      <c r="C25" s="22" t="str">
        <f t="shared" si="0"/>
        <v>Ryan Victor</v>
      </c>
      <c r="D25" s="22" t="s">
        <v>3745</v>
      </c>
      <c r="E25" s="22" t="s">
        <v>4</v>
      </c>
      <c r="F25" s="22" t="s">
        <v>3746</v>
      </c>
      <c r="G25" s="22">
        <v>96343207</v>
      </c>
      <c r="H25" s="22" t="s">
        <v>3668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13">
      <c r="A26" s="22" t="s">
        <v>1161</v>
      </c>
      <c r="B26" s="22" t="s">
        <v>702</v>
      </c>
      <c r="C26" s="22" t="str">
        <f t="shared" si="0"/>
        <v>Eugene Lim</v>
      </c>
      <c r="D26" s="22" t="s">
        <v>3747</v>
      </c>
      <c r="E26" s="22" t="s">
        <v>4</v>
      </c>
      <c r="F26" s="22" t="s">
        <v>3748</v>
      </c>
      <c r="G26" s="22">
        <v>97309879</v>
      </c>
      <c r="H26" s="22" t="s">
        <v>3668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39">
      <c r="A27" s="22" t="s">
        <v>3749</v>
      </c>
      <c r="B27" s="22" t="s">
        <v>3750</v>
      </c>
      <c r="C27" s="22" t="str">
        <f t="shared" si="0"/>
        <v>Francis Pakiasamy Pakiasamy</v>
      </c>
      <c r="D27" s="22" t="s">
        <v>3751</v>
      </c>
      <c r="E27" s="22" t="s">
        <v>4</v>
      </c>
      <c r="F27" s="22" t="s">
        <v>3752</v>
      </c>
      <c r="G27" s="22">
        <v>86062785</v>
      </c>
      <c r="H27" s="22" t="s">
        <v>3668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26">
      <c r="A28" s="22" t="s">
        <v>3753</v>
      </c>
      <c r="B28" s="22" t="s">
        <v>3754</v>
      </c>
      <c r="C28" s="22" t="str">
        <f t="shared" si="0"/>
        <v>Sarsa Kailas</v>
      </c>
      <c r="D28" s="22" t="s">
        <v>3755</v>
      </c>
      <c r="E28" s="22" t="s">
        <v>4</v>
      </c>
      <c r="F28" s="22" t="s">
        <v>3756</v>
      </c>
      <c r="G28" s="22" t="s">
        <v>4387</v>
      </c>
      <c r="H28" s="22" t="s">
        <v>3668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13">
      <c r="A29" s="22" t="s">
        <v>3757</v>
      </c>
      <c r="B29" s="22" t="s">
        <v>1186</v>
      </c>
      <c r="C29" s="22" t="str">
        <f t="shared" si="0"/>
        <v>Mayvika Low</v>
      </c>
      <c r="D29" s="22" t="s">
        <v>3758</v>
      </c>
      <c r="E29" s="22" t="s">
        <v>4</v>
      </c>
      <c r="F29" s="22" t="s">
        <v>3759</v>
      </c>
      <c r="G29" s="22">
        <v>96818077</v>
      </c>
      <c r="H29" s="22" t="s">
        <v>3668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13">
      <c r="A30" s="22" t="s">
        <v>1161</v>
      </c>
      <c r="B30" s="22" t="s">
        <v>3760</v>
      </c>
      <c r="C30" s="22" t="str">
        <f t="shared" si="0"/>
        <v>Eugene Heng</v>
      </c>
      <c r="D30" s="22" t="s">
        <v>3761</v>
      </c>
      <c r="E30" s="22" t="s">
        <v>4</v>
      </c>
      <c r="F30" s="22" t="s">
        <v>3762</v>
      </c>
      <c r="G30" s="22">
        <v>97418118</v>
      </c>
      <c r="H30" s="22" t="s">
        <v>3668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26">
      <c r="A31" s="22" t="s">
        <v>3763</v>
      </c>
      <c r="B31" s="22" t="s">
        <v>1710</v>
      </c>
      <c r="C31" s="22" t="str">
        <f t="shared" si="0"/>
        <v>June NG</v>
      </c>
      <c r="D31" s="22" t="s">
        <v>3764</v>
      </c>
      <c r="E31" s="22" t="s">
        <v>4</v>
      </c>
      <c r="F31" s="22" t="s">
        <v>3765</v>
      </c>
      <c r="G31" s="22">
        <v>62224567</v>
      </c>
      <c r="H31" s="22" t="s">
        <v>3668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26">
      <c r="A32" s="22" t="s">
        <v>3766</v>
      </c>
      <c r="B32" s="22" t="s">
        <v>3767</v>
      </c>
      <c r="C32" s="22" t="str">
        <f t="shared" si="0"/>
        <v>Muhammad Ilmi</v>
      </c>
      <c r="D32" s="22" t="s">
        <v>3768</v>
      </c>
      <c r="E32" s="22" t="s">
        <v>4</v>
      </c>
      <c r="F32" s="22" t="s">
        <v>3769</v>
      </c>
      <c r="G32" s="22">
        <v>91292018</v>
      </c>
      <c r="H32" s="22" t="s">
        <v>3668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6">
      <c r="A33" s="22" t="s">
        <v>3770</v>
      </c>
      <c r="B33" s="22" t="s">
        <v>3771</v>
      </c>
      <c r="C33" s="22" t="str">
        <f t="shared" si="0"/>
        <v>Rohan Bilimoria</v>
      </c>
      <c r="D33" s="22" t="s">
        <v>3772</v>
      </c>
      <c r="E33" s="22" t="s">
        <v>4</v>
      </c>
      <c r="F33" s="22" t="s">
        <v>3773</v>
      </c>
      <c r="G33" s="22">
        <v>81392010</v>
      </c>
      <c r="H33" s="22" t="s">
        <v>3668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ht="26">
      <c r="A34" s="22" t="s">
        <v>3774</v>
      </c>
      <c r="B34" s="22" t="s">
        <v>3775</v>
      </c>
      <c r="C34" s="22" t="str">
        <f t="shared" si="0"/>
        <v>Tatsuya Hasegawa</v>
      </c>
      <c r="D34" s="22" t="s">
        <v>3776</v>
      </c>
      <c r="E34" s="22" t="s">
        <v>4</v>
      </c>
      <c r="F34" s="22" t="s">
        <v>3777</v>
      </c>
      <c r="G34" s="22">
        <v>93384245</v>
      </c>
      <c r="H34" s="22" t="s">
        <v>3668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26">
      <c r="A35" s="22" t="s">
        <v>2867</v>
      </c>
      <c r="B35" s="22" t="s">
        <v>356</v>
      </c>
      <c r="C35" s="22" t="str">
        <f t="shared" si="0"/>
        <v>Albert Kong</v>
      </c>
      <c r="D35" s="22" t="s">
        <v>3676</v>
      </c>
      <c r="E35" s="22" t="s">
        <v>4</v>
      </c>
      <c r="F35" s="22" t="s">
        <v>3677</v>
      </c>
      <c r="G35" s="22">
        <v>6596793947</v>
      </c>
      <c r="H35" s="22" t="s">
        <v>3668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26">
      <c r="A36" s="22" t="s">
        <v>3778</v>
      </c>
      <c r="B36" s="22" t="s">
        <v>907</v>
      </c>
      <c r="C36" s="22" t="str">
        <f t="shared" si="0"/>
        <v>Bennett Goh</v>
      </c>
      <c r="D36" s="22" t="s">
        <v>3779</v>
      </c>
      <c r="E36" s="22" t="s">
        <v>4</v>
      </c>
      <c r="F36" s="22" t="s">
        <v>3780</v>
      </c>
      <c r="G36" s="22">
        <v>6591374213</v>
      </c>
      <c r="H36" s="22" t="s">
        <v>3668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26">
      <c r="A37" s="22" t="s">
        <v>2239</v>
      </c>
      <c r="B37" s="22" t="s">
        <v>2262</v>
      </c>
      <c r="C37" s="22" t="str">
        <f t="shared" si="0"/>
        <v>James Sim</v>
      </c>
      <c r="D37" s="22" t="s">
        <v>3781</v>
      </c>
      <c r="E37" s="22" t="s">
        <v>4</v>
      </c>
      <c r="F37" s="22" t="s">
        <v>3782</v>
      </c>
      <c r="G37" s="22">
        <v>88387171</v>
      </c>
      <c r="H37" s="22" t="s">
        <v>3668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26">
      <c r="A38" s="22" t="s">
        <v>3783</v>
      </c>
      <c r="B38" s="22" t="s">
        <v>3784</v>
      </c>
      <c r="C38" s="22" t="str">
        <f t="shared" si="0"/>
        <v>Anilkumar Valluru</v>
      </c>
      <c r="D38" s="22" t="s">
        <v>3785</v>
      </c>
      <c r="E38" s="22" t="s">
        <v>4</v>
      </c>
      <c r="F38" s="22" t="s">
        <v>3786</v>
      </c>
      <c r="G38" s="22">
        <v>9885500007</v>
      </c>
      <c r="H38" s="22" t="s">
        <v>3668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26">
      <c r="A39" s="22" t="s">
        <v>3787</v>
      </c>
      <c r="B39" s="22" t="s">
        <v>3788</v>
      </c>
      <c r="C39" s="22" t="str">
        <f t="shared" si="0"/>
        <v>Theodore Pung</v>
      </c>
      <c r="D39" s="22" t="s">
        <v>3789</v>
      </c>
      <c r="E39" s="22" t="s">
        <v>4</v>
      </c>
      <c r="F39" s="22" t="s">
        <v>3790</v>
      </c>
      <c r="G39" s="22">
        <v>92997708</v>
      </c>
      <c r="H39" s="22" t="s">
        <v>3668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26">
      <c r="A40" s="22" t="s">
        <v>3791</v>
      </c>
      <c r="B40" s="22" t="s">
        <v>4394</v>
      </c>
      <c r="C40" s="22" t="str">
        <f t="shared" si="0"/>
        <v xml:space="preserve">Kwang </v>
      </c>
      <c r="D40" s="22" t="s">
        <v>3792</v>
      </c>
      <c r="E40" s="22" t="s">
        <v>4</v>
      </c>
      <c r="F40" s="22" t="s">
        <v>3793</v>
      </c>
      <c r="G40" s="22">
        <v>821038000000</v>
      </c>
      <c r="H40" s="22" t="s">
        <v>3668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13">
      <c r="A41" s="22" t="s">
        <v>3794</v>
      </c>
      <c r="B41" s="22" t="s">
        <v>3795</v>
      </c>
      <c r="C41" s="22" t="str">
        <f t="shared" si="0"/>
        <v>Kohdai Ohno</v>
      </c>
      <c r="D41" s="22" t="s">
        <v>3796</v>
      </c>
      <c r="E41" s="22" t="s">
        <v>4</v>
      </c>
      <c r="F41" s="22" t="s">
        <v>3797</v>
      </c>
      <c r="G41" s="22">
        <v>0</v>
      </c>
      <c r="H41" s="22" t="s">
        <v>3668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3">
      <c r="A42" s="22" t="s">
        <v>3798</v>
      </c>
      <c r="B42" s="22" t="s">
        <v>3799</v>
      </c>
      <c r="C42" s="22" t="str">
        <f t="shared" si="0"/>
        <v>Abhi Shek</v>
      </c>
      <c r="D42" s="23" t="s">
        <v>3800</v>
      </c>
      <c r="E42" s="22" t="s">
        <v>4</v>
      </c>
      <c r="F42" s="23" t="s">
        <v>3801</v>
      </c>
      <c r="G42" s="22">
        <v>97749501</v>
      </c>
      <c r="H42" s="22" t="s">
        <v>3668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39">
      <c r="A43" s="22" t="s">
        <v>2896</v>
      </c>
      <c r="B43" s="22" t="s">
        <v>702</v>
      </c>
      <c r="C43" s="22" t="str">
        <f t="shared" si="0"/>
        <v>Francis Lim</v>
      </c>
      <c r="D43" s="22" t="s">
        <v>3802</v>
      </c>
      <c r="E43" s="22" t="s">
        <v>4</v>
      </c>
      <c r="F43" s="23" t="s">
        <v>3803</v>
      </c>
      <c r="G43" s="22">
        <v>91819997</v>
      </c>
      <c r="H43" s="22" t="s">
        <v>3668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26">
      <c r="A44" s="22" t="s">
        <v>3804</v>
      </c>
      <c r="B44" s="22" t="s">
        <v>902</v>
      </c>
      <c r="C44" s="22" t="str">
        <f t="shared" si="0"/>
        <v>Melvin Ng</v>
      </c>
      <c r="D44" s="22" t="s">
        <v>3805</v>
      </c>
      <c r="E44" s="22" t="s">
        <v>4</v>
      </c>
      <c r="F44" s="23" t="s">
        <v>2043</v>
      </c>
      <c r="G44" s="22">
        <v>6591770316</v>
      </c>
      <c r="H44" s="22" t="s">
        <v>3668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39">
      <c r="A45" s="22" t="s">
        <v>3806</v>
      </c>
      <c r="B45" s="22" t="s">
        <v>3807</v>
      </c>
      <c r="C45" s="22" t="str">
        <f t="shared" si="0"/>
        <v>Arpit Agarwal Agarwal</v>
      </c>
      <c r="D45" s="22" t="s">
        <v>3808</v>
      </c>
      <c r="E45" s="22" t="s">
        <v>4</v>
      </c>
      <c r="F45" s="22" t="s">
        <v>3809</v>
      </c>
      <c r="G45" s="22">
        <v>5128159841</v>
      </c>
      <c r="H45" s="22" t="s">
        <v>3668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3">
      <c r="A46" s="22" t="s">
        <v>3810</v>
      </c>
      <c r="B46" s="22" t="s">
        <v>1083</v>
      </c>
      <c r="C46" s="22" t="str">
        <f t="shared" si="0"/>
        <v>Soon Hui</v>
      </c>
      <c r="D46" s="22" t="s">
        <v>3811</v>
      </c>
      <c r="E46" s="22" t="s">
        <v>4</v>
      </c>
      <c r="F46" s="22" t="s">
        <v>2502</v>
      </c>
      <c r="G46" s="22">
        <v>91393992</v>
      </c>
      <c r="H46" s="22" t="s">
        <v>3668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26">
      <c r="A47" s="22" t="s">
        <v>3812</v>
      </c>
      <c r="B47" s="22" t="s">
        <v>702</v>
      </c>
      <c r="C47" s="22" t="str">
        <f t="shared" si="0"/>
        <v>JAce Lim</v>
      </c>
      <c r="D47" s="22" t="s">
        <v>3813</v>
      </c>
      <c r="E47" s="22" t="s">
        <v>4</v>
      </c>
      <c r="F47" s="23" t="s">
        <v>3814</v>
      </c>
      <c r="G47" s="22">
        <v>81614738</v>
      </c>
      <c r="H47" s="22" t="s">
        <v>3668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39">
      <c r="A48" s="22" t="s">
        <v>3712</v>
      </c>
      <c r="B48" s="22" t="s">
        <v>372</v>
      </c>
      <c r="C48" s="22" t="str">
        <f t="shared" si="0"/>
        <v>Rachel Tan</v>
      </c>
      <c r="D48" s="22" t="s">
        <v>3815</v>
      </c>
      <c r="E48" s="22" t="s">
        <v>4</v>
      </c>
      <c r="F48" s="23" t="s">
        <v>3816</v>
      </c>
      <c r="G48" s="22">
        <v>81981088</v>
      </c>
      <c r="H48" s="22" t="s">
        <v>3668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13">
      <c r="A49" s="22" t="s">
        <v>3817</v>
      </c>
      <c r="B49" s="22" t="s">
        <v>482</v>
      </c>
      <c r="C49" s="22" t="str">
        <f t="shared" si="0"/>
        <v>Annie Loh</v>
      </c>
      <c r="D49" s="22" t="s">
        <v>3818</v>
      </c>
      <c r="E49" s="22" t="s">
        <v>4</v>
      </c>
      <c r="F49" s="24" t="s">
        <v>3819</v>
      </c>
      <c r="G49" s="22">
        <v>96986628</v>
      </c>
      <c r="H49" s="22" t="s">
        <v>3668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13">
      <c r="A50" s="22" t="s">
        <v>3820</v>
      </c>
      <c r="B50" s="22" t="s">
        <v>3821</v>
      </c>
      <c r="C50" s="22" t="str">
        <f t="shared" si="0"/>
        <v>HAri Das</v>
      </c>
      <c r="D50" s="22" t="s">
        <v>3822</v>
      </c>
      <c r="E50" s="22" t="s">
        <v>4</v>
      </c>
      <c r="F50" s="23" t="s">
        <v>3823</v>
      </c>
      <c r="G50" s="22">
        <v>87799764</v>
      </c>
      <c r="H50" s="22" t="s">
        <v>3668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13">
      <c r="A51" s="22" t="s">
        <v>4807</v>
      </c>
      <c r="B51" s="22" t="s">
        <v>3824</v>
      </c>
      <c r="C51" s="22" t="str">
        <f t="shared" si="0"/>
        <v>Kajal Kurana</v>
      </c>
      <c r="D51" s="22" t="s">
        <v>3825</v>
      </c>
      <c r="E51" s="22" t="s">
        <v>4</v>
      </c>
      <c r="F51" s="23" t="s">
        <v>3826</v>
      </c>
      <c r="G51" s="22">
        <v>84570169</v>
      </c>
      <c r="H51" s="22" t="s">
        <v>3668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26">
      <c r="A52" s="22" t="s">
        <v>3827</v>
      </c>
      <c r="B52" s="22" t="s">
        <v>473</v>
      </c>
      <c r="C52" s="22" t="str">
        <f t="shared" si="0"/>
        <v>Bobby Chua</v>
      </c>
      <c r="D52" s="22" t="s">
        <v>3828</v>
      </c>
      <c r="E52" s="22" t="s">
        <v>4</v>
      </c>
      <c r="F52" s="23" t="s">
        <v>3829</v>
      </c>
      <c r="G52" s="22" t="s">
        <v>3830</v>
      </c>
      <c r="H52" s="22" t="s">
        <v>3668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ht="26">
      <c r="A53" s="22" t="s">
        <v>348</v>
      </c>
      <c r="B53" s="22" t="s">
        <v>821</v>
      </c>
      <c r="C53" s="22" t="str">
        <f t="shared" si="0"/>
        <v>Anthony Lee</v>
      </c>
      <c r="D53" s="22" t="s">
        <v>3831</v>
      </c>
      <c r="E53" s="22" t="s">
        <v>4</v>
      </c>
      <c r="F53" s="22" t="s">
        <v>3832</v>
      </c>
      <c r="G53" s="22">
        <v>96959009</v>
      </c>
      <c r="H53" s="22" t="s">
        <v>3668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 ht="13">
      <c r="A54" s="22" t="s">
        <v>478</v>
      </c>
      <c r="B54" s="22" t="s">
        <v>3673</v>
      </c>
      <c r="C54" s="22" t="str">
        <f t="shared" si="0"/>
        <v>Siow Kiat</v>
      </c>
      <c r="D54" s="22" t="s">
        <v>3833</v>
      </c>
      <c r="E54" s="22" t="s">
        <v>4</v>
      </c>
      <c r="F54" s="24" t="s">
        <v>3834</v>
      </c>
      <c r="G54" s="22">
        <v>97472019</v>
      </c>
      <c r="H54" s="22" t="s">
        <v>3668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52">
      <c r="A55" s="22" t="s">
        <v>4535</v>
      </c>
      <c r="B55" s="22" t="s">
        <v>1751</v>
      </c>
      <c r="C55" s="22" t="str">
        <f t="shared" si="0"/>
        <v>Cynthia Lin</v>
      </c>
      <c r="D55" s="22" t="s">
        <v>3835</v>
      </c>
      <c r="E55" s="22" t="s">
        <v>4</v>
      </c>
      <c r="F55" s="23" t="s">
        <v>3836</v>
      </c>
      <c r="G55" s="22" t="s">
        <v>3837</v>
      </c>
      <c r="H55" s="22" t="s">
        <v>3668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 ht="13">
      <c r="A56" s="22" t="s">
        <v>3817</v>
      </c>
      <c r="B56" s="22" t="s">
        <v>482</v>
      </c>
      <c r="C56" s="22" t="str">
        <f t="shared" si="0"/>
        <v>Annie Loh</v>
      </c>
      <c r="D56" s="22" t="s">
        <v>3818</v>
      </c>
      <c r="E56" s="22" t="s">
        <v>4</v>
      </c>
      <c r="F56" s="22" t="s">
        <v>3838</v>
      </c>
      <c r="G56" s="22">
        <v>96986628</v>
      </c>
      <c r="H56" s="22" t="s">
        <v>3668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 ht="26">
      <c r="A57" s="22" t="s">
        <v>3839</v>
      </c>
      <c r="B57" s="22" t="s">
        <v>3840</v>
      </c>
      <c r="C57" s="22" t="str">
        <f t="shared" si="0"/>
        <v>Benson Fuentes</v>
      </c>
      <c r="D57" s="22" t="s">
        <v>3841</v>
      </c>
      <c r="E57" s="22" t="s">
        <v>4</v>
      </c>
      <c r="F57" s="24" t="s">
        <v>3842</v>
      </c>
      <c r="G57" s="22">
        <v>91236588</v>
      </c>
      <c r="H57" s="22" t="s">
        <v>3668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 ht="39">
      <c r="A58" s="22" t="s">
        <v>3843</v>
      </c>
      <c r="B58" s="22" t="s">
        <v>3844</v>
      </c>
      <c r="C58" s="22" t="str">
        <f t="shared" si="0"/>
        <v>Sathish G</v>
      </c>
      <c r="D58" s="22" t="s">
        <v>3845</v>
      </c>
      <c r="E58" s="22" t="s">
        <v>4</v>
      </c>
      <c r="F58" s="24" t="s">
        <v>3846</v>
      </c>
      <c r="G58" s="22">
        <v>93762440</v>
      </c>
      <c r="H58" s="22" t="s">
        <v>3668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26">
      <c r="A59" s="22" t="s">
        <v>3847</v>
      </c>
      <c r="B59" s="22" t="s">
        <v>372</v>
      </c>
      <c r="C59" s="22" t="str">
        <f t="shared" si="0"/>
        <v>Jolene Tan</v>
      </c>
      <c r="D59" s="22" t="s">
        <v>3848</v>
      </c>
      <c r="E59" s="22" t="s">
        <v>4</v>
      </c>
      <c r="F59" s="23" t="s">
        <v>3849</v>
      </c>
      <c r="G59" s="22">
        <v>96466133</v>
      </c>
      <c r="H59" s="22" t="s">
        <v>3668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13">
      <c r="A60" s="22" t="s">
        <v>4535</v>
      </c>
      <c r="B60" s="22" t="s">
        <v>1751</v>
      </c>
      <c r="C60" s="22" t="str">
        <f t="shared" si="0"/>
        <v>Cynthia Lin</v>
      </c>
      <c r="D60" s="22" t="s">
        <v>3850</v>
      </c>
      <c r="E60" s="22" t="s">
        <v>4</v>
      </c>
      <c r="F60" s="23" t="s">
        <v>3836</v>
      </c>
      <c r="G60" s="22">
        <f>6562863333</f>
        <v>6562863333</v>
      </c>
      <c r="H60" s="22" t="s">
        <v>3668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26">
      <c r="A61" s="22" t="s">
        <v>4518</v>
      </c>
      <c r="B61" s="22" t="s">
        <v>744</v>
      </c>
      <c r="C61" s="22" t="str">
        <f t="shared" si="0"/>
        <v>Min Chan</v>
      </c>
      <c r="D61" s="22" t="s">
        <v>3851</v>
      </c>
      <c r="E61" s="22" t="s">
        <v>4</v>
      </c>
      <c r="F61" s="23" t="s">
        <v>3852</v>
      </c>
      <c r="G61" s="22">
        <v>85004783</v>
      </c>
      <c r="H61" s="22" t="s">
        <v>3668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26">
      <c r="A62" s="22" t="s">
        <v>3853</v>
      </c>
      <c r="B62" s="22" t="s">
        <v>341</v>
      </c>
      <c r="C62" s="22" t="str">
        <f t="shared" si="0"/>
        <v>Li Hui See</v>
      </c>
      <c r="D62" s="22" t="s">
        <v>3854</v>
      </c>
      <c r="E62" s="22" t="s">
        <v>4</v>
      </c>
      <c r="F62" s="23" t="s">
        <v>3855</v>
      </c>
      <c r="G62" s="22">
        <v>97945855</v>
      </c>
      <c r="H62" s="22" t="s">
        <v>3668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3">
      <c r="A63" s="22" t="s">
        <v>3856</v>
      </c>
      <c r="B63" s="22" t="s">
        <v>1503</v>
      </c>
      <c r="C63" s="22" t="str">
        <f t="shared" si="0"/>
        <v>Amol -</v>
      </c>
      <c r="D63" s="22" t="s">
        <v>3857</v>
      </c>
      <c r="E63" s="22" t="s">
        <v>4</v>
      </c>
      <c r="F63" s="22" t="s">
        <v>3858</v>
      </c>
      <c r="G63" s="22" t="s">
        <v>1503</v>
      </c>
      <c r="H63" s="22" t="s">
        <v>3668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26">
      <c r="A64" s="22" t="s">
        <v>3859</v>
      </c>
      <c r="B64" s="22" t="s">
        <v>3860</v>
      </c>
      <c r="C64" s="22" t="str">
        <f t="shared" si="0"/>
        <v>Josephine Koh Leh Poh</v>
      </c>
      <c r="D64" s="22" t="s">
        <v>3861</v>
      </c>
      <c r="E64" s="22" t="s">
        <v>4</v>
      </c>
      <c r="F64" s="22" t="s">
        <v>3862</v>
      </c>
      <c r="G64" s="22">
        <v>97321418</v>
      </c>
      <c r="H64" s="22" t="s">
        <v>3668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3">
      <c r="A65" s="22" t="s">
        <v>932</v>
      </c>
      <c r="B65" s="22" t="s">
        <v>428</v>
      </c>
      <c r="C65" s="22" t="str">
        <f t="shared" si="0"/>
        <v>Amanda Ong</v>
      </c>
      <c r="D65" s="22" t="s">
        <v>3863</v>
      </c>
      <c r="E65" s="22" t="s">
        <v>4</v>
      </c>
      <c r="F65" s="23" t="s">
        <v>1453</v>
      </c>
      <c r="G65" s="22">
        <v>97987400</v>
      </c>
      <c r="H65" s="22" t="s">
        <v>3668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26">
      <c r="A66" s="22" t="s">
        <v>1153</v>
      </c>
      <c r="B66" s="22" t="s">
        <v>465</v>
      </c>
      <c r="C66" s="22" t="str">
        <f t="shared" si="0"/>
        <v>Victor Wong</v>
      </c>
      <c r="D66" s="22" t="s">
        <v>3864</v>
      </c>
      <c r="E66" s="22" t="s">
        <v>4</v>
      </c>
      <c r="F66" s="23" t="s">
        <v>3865</v>
      </c>
      <c r="G66" s="22" t="s">
        <v>3866</v>
      </c>
      <c r="H66" s="22" t="s">
        <v>3668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3">
      <c r="A67" s="22" t="s">
        <v>3867</v>
      </c>
      <c r="B67" s="22" t="s">
        <v>3868</v>
      </c>
      <c r="C67" s="22" t="str">
        <f t="shared" ref="C67:C116" si="1">_xlfn.CONCAT(A67," ",B67)</f>
        <v>Shin Chze</v>
      </c>
      <c r="D67" s="22" t="s">
        <v>3869</v>
      </c>
      <c r="E67" s="22" t="s">
        <v>4</v>
      </c>
      <c r="F67" s="22" t="s">
        <v>3870</v>
      </c>
      <c r="G67" s="22" t="s">
        <v>842</v>
      </c>
      <c r="H67" s="22" t="s">
        <v>3668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3">
      <c r="A68" s="22" t="s">
        <v>3871</v>
      </c>
      <c r="B68" s="22" t="s">
        <v>821</v>
      </c>
      <c r="C68" s="22" t="str">
        <f t="shared" si="1"/>
        <v>Penny Lee</v>
      </c>
      <c r="D68" s="22" t="s">
        <v>3716</v>
      </c>
      <c r="E68" s="22" t="s">
        <v>4</v>
      </c>
      <c r="F68" s="22" t="s">
        <v>3872</v>
      </c>
      <c r="G68" s="22" t="s">
        <v>3873</v>
      </c>
      <c r="H68" s="22" t="s">
        <v>3668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3">
      <c r="A69" s="22" t="s">
        <v>3874</v>
      </c>
      <c r="B69" s="22" t="s">
        <v>969</v>
      </c>
      <c r="C69" s="22" t="str">
        <f t="shared" si="1"/>
        <v>Maria Leong</v>
      </c>
      <c r="D69" s="22" t="s">
        <v>3875</v>
      </c>
      <c r="E69" s="22" t="s">
        <v>4</v>
      </c>
      <c r="F69" s="22" t="s">
        <v>3876</v>
      </c>
      <c r="G69" s="22" t="s">
        <v>3877</v>
      </c>
      <c r="H69" s="22" t="s">
        <v>3668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26">
      <c r="A70" s="22" t="s">
        <v>3878</v>
      </c>
      <c r="B70" s="22" t="s">
        <v>2473</v>
      </c>
      <c r="C70" s="22" t="str">
        <f t="shared" si="1"/>
        <v>Rocky Ang</v>
      </c>
      <c r="D70" s="22" t="s">
        <v>3879</v>
      </c>
      <c r="E70" s="22" t="s">
        <v>4</v>
      </c>
      <c r="F70" s="23" t="s">
        <v>3880</v>
      </c>
      <c r="G70" s="22">
        <v>90014288</v>
      </c>
      <c r="H70" s="22" t="s">
        <v>3668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26">
      <c r="A71" s="22" t="s">
        <v>3881</v>
      </c>
      <c r="B71" s="22" t="s">
        <v>372</v>
      </c>
      <c r="C71" s="22" t="str">
        <f t="shared" si="1"/>
        <v>Sharonne Tan</v>
      </c>
      <c r="D71" s="22" t="s">
        <v>3882</v>
      </c>
      <c r="E71" s="22" t="s">
        <v>4</v>
      </c>
      <c r="F71" s="22" t="s">
        <v>3883</v>
      </c>
      <c r="G71" s="22">
        <v>64450598</v>
      </c>
      <c r="H71" s="22" t="s">
        <v>3668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52">
      <c r="A72" s="22" t="s">
        <v>3884</v>
      </c>
      <c r="B72" s="22" t="s">
        <v>3885</v>
      </c>
      <c r="C72" s="22" t="str">
        <f t="shared" si="1"/>
        <v>Koon Yew</v>
      </c>
      <c r="D72" s="22" t="s">
        <v>3886</v>
      </c>
      <c r="E72" s="22" t="s">
        <v>4</v>
      </c>
      <c r="F72" s="24" t="s">
        <v>3887</v>
      </c>
      <c r="G72" s="22">
        <v>85224418</v>
      </c>
      <c r="H72" s="22" t="s">
        <v>3668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3">
      <c r="A73" s="22" t="s">
        <v>3888</v>
      </c>
      <c r="B73" s="22" t="s">
        <v>3889</v>
      </c>
      <c r="C73" s="22" t="str">
        <f t="shared" si="1"/>
        <v>tingwei loo</v>
      </c>
      <c r="D73" s="22" t="s">
        <v>3890</v>
      </c>
      <c r="E73" s="22" t="s">
        <v>4</v>
      </c>
      <c r="F73" s="22" t="s">
        <v>3891</v>
      </c>
      <c r="G73" s="22">
        <v>88336659</v>
      </c>
      <c r="H73" s="22" t="s">
        <v>3668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3">
      <c r="A74" s="22" t="s">
        <v>3892</v>
      </c>
      <c r="B74" s="22" t="s">
        <v>465</v>
      </c>
      <c r="C74" s="22" t="str">
        <f t="shared" si="1"/>
        <v>Joshua Wong</v>
      </c>
      <c r="D74" s="22" t="s">
        <v>3893</v>
      </c>
      <c r="E74" s="22" t="s">
        <v>4</v>
      </c>
      <c r="F74" s="22" t="s">
        <v>3894</v>
      </c>
      <c r="G74" s="22">
        <v>92995930</v>
      </c>
      <c r="H74" s="22" t="s">
        <v>3668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26">
      <c r="A75" s="22" t="s">
        <v>3895</v>
      </c>
      <c r="B75" s="22" t="s">
        <v>869</v>
      </c>
      <c r="C75" s="22" t="str">
        <f t="shared" si="1"/>
        <v>Yuming Wei</v>
      </c>
      <c r="D75" s="22" t="s">
        <v>3896</v>
      </c>
      <c r="E75" s="22" t="s">
        <v>4</v>
      </c>
      <c r="F75" s="22" t="s">
        <v>3897</v>
      </c>
      <c r="G75" s="22">
        <v>94597443</v>
      </c>
      <c r="H75" s="22" t="s">
        <v>3668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26">
      <c r="A76" s="22" t="s">
        <v>4808</v>
      </c>
      <c r="B76" s="22" t="s">
        <v>1751</v>
      </c>
      <c r="C76" s="22" t="str">
        <f t="shared" si="1"/>
        <v>Ai Lin</v>
      </c>
      <c r="D76" s="22" t="s">
        <v>3898</v>
      </c>
      <c r="E76" s="22" t="s">
        <v>4</v>
      </c>
      <c r="F76" s="22" t="s">
        <v>3899</v>
      </c>
      <c r="G76" s="22">
        <f>6591846992</f>
        <v>6591846992</v>
      </c>
      <c r="H76" s="22" t="s">
        <v>3668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52">
      <c r="A77" s="22" t="s">
        <v>2823</v>
      </c>
      <c r="B77" s="22" t="s">
        <v>3900</v>
      </c>
      <c r="C77" s="22" t="str">
        <f t="shared" si="1"/>
        <v>Jamal Johan</v>
      </c>
      <c r="D77" s="22" t="s">
        <v>3901</v>
      </c>
      <c r="E77" s="22" t="s">
        <v>4</v>
      </c>
      <c r="F77" s="22" t="s">
        <v>3902</v>
      </c>
      <c r="G77" s="22">
        <v>67969983</v>
      </c>
      <c r="H77" s="22" t="s">
        <v>3668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39">
      <c r="A78" s="22" t="s">
        <v>3903</v>
      </c>
      <c r="B78" s="22" t="s">
        <v>372</v>
      </c>
      <c r="C78" s="22" t="str">
        <f t="shared" si="1"/>
        <v>Domenico Tan</v>
      </c>
      <c r="D78" s="22" t="s">
        <v>3904</v>
      </c>
      <c r="E78" s="22" t="s">
        <v>4</v>
      </c>
      <c r="F78" s="22" t="s">
        <v>3905</v>
      </c>
      <c r="G78" s="22">
        <v>81266579</v>
      </c>
      <c r="H78" s="22" t="s">
        <v>3668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26">
      <c r="A79" s="22" t="s">
        <v>1290</v>
      </c>
      <c r="B79" s="22" t="s">
        <v>432</v>
      </c>
      <c r="C79" s="22" t="str">
        <f t="shared" si="1"/>
        <v>Derek Chen</v>
      </c>
      <c r="D79" s="22" t="s">
        <v>3906</v>
      </c>
      <c r="E79" s="22" t="s">
        <v>4</v>
      </c>
      <c r="F79" s="22" t="s">
        <v>3907</v>
      </c>
      <c r="G79" s="22">
        <v>91010143</v>
      </c>
      <c r="H79" s="22" t="s">
        <v>3668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39">
      <c r="A80" s="22" t="s">
        <v>3908</v>
      </c>
      <c r="B80" s="22" t="s">
        <v>3909</v>
      </c>
      <c r="C80" s="22" t="str">
        <f t="shared" si="1"/>
        <v>Walter King</v>
      </c>
      <c r="D80" s="22" t="s">
        <v>3893</v>
      </c>
      <c r="E80" s="22" t="s">
        <v>4</v>
      </c>
      <c r="F80" s="22" t="s">
        <v>3910</v>
      </c>
      <c r="G80" s="22">
        <v>38495099</v>
      </c>
      <c r="H80" s="22" t="s">
        <v>3668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26">
      <c r="A81" s="22" t="s">
        <v>3911</v>
      </c>
      <c r="B81" s="22" t="s">
        <v>3912</v>
      </c>
      <c r="C81" s="22" t="str">
        <f t="shared" si="1"/>
        <v>Issac Yan</v>
      </c>
      <c r="D81" s="22" t="s">
        <v>3913</v>
      </c>
      <c r="E81" s="22" t="s">
        <v>4</v>
      </c>
      <c r="F81" s="22" t="s">
        <v>3914</v>
      </c>
      <c r="G81" s="22">
        <v>91167058</v>
      </c>
      <c r="H81" s="22" t="s">
        <v>3668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3">
      <c r="A82" s="22" t="s">
        <v>1070</v>
      </c>
      <c r="B82" s="22" t="s">
        <v>878</v>
      </c>
      <c r="C82" s="22" t="str">
        <f t="shared" si="1"/>
        <v>Colin Koh</v>
      </c>
      <c r="D82" s="22" t="s">
        <v>3915</v>
      </c>
      <c r="E82" s="22" t="s">
        <v>4</v>
      </c>
      <c r="F82" s="22" t="s">
        <v>3916</v>
      </c>
      <c r="G82" s="22">
        <v>87879998</v>
      </c>
      <c r="H82" s="22" t="s">
        <v>3668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39">
      <c r="A83" s="22" t="s">
        <v>3917</v>
      </c>
      <c r="B83" s="22" t="s">
        <v>3918</v>
      </c>
      <c r="C83" s="22" t="str">
        <f t="shared" si="1"/>
        <v>Tze Yue</v>
      </c>
      <c r="D83" s="22" t="s">
        <v>3919</v>
      </c>
      <c r="E83" s="22" t="s">
        <v>4</v>
      </c>
      <c r="F83" s="22" t="s">
        <v>3920</v>
      </c>
      <c r="G83" s="22">
        <v>91183789</v>
      </c>
      <c r="H83" s="22" t="s">
        <v>3668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52">
      <c r="A84" s="22" t="s">
        <v>3921</v>
      </c>
      <c r="B84" s="22" t="s">
        <v>3922</v>
      </c>
      <c r="C84" s="22" t="str">
        <f t="shared" si="1"/>
        <v>Antonio Moschetto</v>
      </c>
      <c r="D84" s="22" t="s">
        <v>3923</v>
      </c>
      <c r="E84" s="22" t="s">
        <v>4</v>
      </c>
      <c r="F84" s="22" t="s">
        <v>3924</v>
      </c>
      <c r="G84" s="22">
        <v>86475308</v>
      </c>
      <c r="H84" s="22" t="s">
        <v>3668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26">
      <c r="A85" s="22" t="s">
        <v>4809</v>
      </c>
      <c r="B85" s="22" t="s">
        <v>3925</v>
      </c>
      <c r="C85" s="22" t="str">
        <f t="shared" si="1"/>
        <v>Suresh KS</v>
      </c>
      <c r="D85" s="22" t="s">
        <v>3861</v>
      </c>
      <c r="E85" s="22" t="s">
        <v>4</v>
      </c>
      <c r="F85" s="22" t="s">
        <v>3926</v>
      </c>
      <c r="G85" s="22">
        <v>96557190</v>
      </c>
      <c r="H85" s="22" t="s">
        <v>3668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3">
      <c r="A86" s="22" t="s">
        <v>4810</v>
      </c>
      <c r="B86" s="22" t="s">
        <v>744</v>
      </c>
      <c r="C86" s="22" t="str">
        <f t="shared" si="1"/>
        <v>Darius Chan</v>
      </c>
      <c r="D86" s="22" t="s">
        <v>3927</v>
      </c>
      <c r="E86" s="22" t="s">
        <v>4</v>
      </c>
      <c r="F86" s="22" t="s">
        <v>3928</v>
      </c>
      <c r="G86" s="22">
        <v>98458982</v>
      </c>
      <c r="H86" s="22" t="s">
        <v>3668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26">
      <c r="A87" s="22" t="s">
        <v>2627</v>
      </c>
      <c r="B87" s="22" t="s">
        <v>523</v>
      </c>
      <c r="C87" s="22" t="str">
        <f t="shared" si="1"/>
        <v>Isabelle Leow</v>
      </c>
      <c r="D87" s="22" t="s">
        <v>3929</v>
      </c>
      <c r="E87" s="22" t="s">
        <v>4</v>
      </c>
      <c r="F87" s="22" t="s">
        <v>3930</v>
      </c>
      <c r="G87" s="22">
        <v>96698668</v>
      </c>
      <c r="H87" s="22" t="s">
        <v>3668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26">
      <c r="A88" s="22" t="s">
        <v>932</v>
      </c>
      <c r="B88" s="22" t="s">
        <v>3931</v>
      </c>
      <c r="C88" s="22" t="str">
        <f t="shared" si="1"/>
        <v>Amanda Khoo</v>
      </c>
      <c r="D88" s="22" t="s">
        <v>3932</v>
      </c>
      <c r="E88" s="22" t="s">
        <v>4</v>
      </c>
      <c r="F88" s="22" t="s">
        <v>3933</v>
      </c>
      <c r="G88" s="22">
        <v>92301756</v>
      </c>
      <c r="H88" s="22" t="s">
        <v>3668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26">
      <c r="A89" s="22" t="s">
        <v>4654</v>
      </c>
      <c r="B89" s="22" t="s">
        <v>3934</v>
      </c>
      <c r="C89" s="22" t="str">
        <f t="shared" si="1"/>
        <v>Roy Li</v>
      </c>
      <c r="D89" s="22" t="s">
        <v>3935</v>
      </c>
      <c r="E89" s="22" t="s">
        <v>4</v>
      </c>
      <c r="F89" s="22" t="s">
        <v>3936</v>
      </c>
      <c r="G89" s="22">
        <v>90685172</v>
      </c>
      <c r="H89" s="22" t="s">
        <v>3668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39">
      <c r="A90" s="22" t="s">
        <v>3744</v>
      </c>
      <c r="B90" s="22" t="s">
        <v>764</v>
      </c>
      <c r="C90" s="22" t="str">
        <f t="shared" si="1"/>
        <v>Ryan Kim</v>
      </c>
      <c r="D90" s="22" t="s">
        <v>3937</v>
      </c>
      <c r="E90" s="22" t="s">
        <v>4</v>
      </c>
      <c r="F90" s="22" t="s">
        <v>3938</v>
      </c>
      <c r="G90" s="22">
        <v>97978545</v>
      </c>
      <c r="H90" s="22" t="s">
        <v>3668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39">
      <c r="A91" s="22" t="s">
        <v>4445</v>
      </c>
      <c r="B91" s="22" t="s">
        <v>3939</v>
      </c>
      <c r="C91" s="22" t="str">
        <f t="shared" si="1"/>
        <v>Eric Santos</v>
      </c>
      <c r="D91" s="22" t="s">
        <v>3940</v>
      </c>
      <c r="E91" s="22" t="s">
        <v>4</v>
      </c>
      <c r="F91" s="22" t="s">
        <v>3941</v>
      </c>
      <c r="G91" s="22">
        <v>92268881</v>
      </c>
      <c r="H91" s="22" t="s">
        <v>3668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39">
      <c r="A92" s="22" t="s">
        <v>846</v>
      </c>
      <c r="B92" s="22" t="s">
        <v>702</v>
      </c>
      <c r="C92" s="22" t="str">
        <f t="shared" si="1"/>
        <v>Wilson Lim</v>
      </c>
      <c r="D92" s="22" t="s">
        <v>3942</v>
      </c>
      <c r="E92" s="22" t="s">
        <v>4</v>
      </c>
      <c r="F92" s="22" t="s">
        <v>3943</v>
      </c>
      <c r="G92" s="22">
        <v>91692340</v>
      </c>
      <c r="H92" s="22" t="s">
        <v>3668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3">
      <c r="A93" s="22" t="s">
        <v>4502</v>
      </c>
      <c r="B93" s="22" t="s">
        <v>744</v>
      </c>
      <c r="C93" s="22" t="str">
        <f t="shared" si="1"/>
        <v>Johnny Chan</v>
      </c>
      <c r="D93" s="22" t="s">
        <v>3944</v>
      </c>
      <c r="E93" s="22" t="s">
        <v>4</v>
      </c>
      <c r="F93" s="22" t="s">
        <v>3945</v>
      </c>
      <c r="G93" s="22">
        <f>6592388872</f>
        <v>6592388872</v>
      </c>
      <c r="H93" s="22" t="s">
        <v>3668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26">
      <c r="A94" s="22" t="s">
        <v>4811</v>
      </c>
      <c r="B94" s="22" t="s">
        <v>3946</v>
      </c>
      <c r="C94" s="22" t="str">
        <f t="shared" si="1"/>
        <v>Stevan Fam</v>
      </c>
      <c r="D94" s="22" t="s">
        <v>3947</v>
      </c>
      <c r="E94" s="22" t="s">
        <v>4</v>
      </c>
      <c r="F94" s="22" t="s">
        <v>3948</v>
      </c>
      <c r="G94" s="22">
        <v>90706544</v>
      </c>
      <c r="H94" s="22" t="s">
        <v>3668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3">
      <c r="A95" s="22" t="s">
        <v>878</v>
      </c>
      <c r="B95" s="22" t="s">
        <v>3949</v>
      </c>
      <c r="C95" s="22" t="str">
        <f t="shared" si="1"/>
        <v>Koh Jing Ting</v>
      </c>
      <c r="D95" s="22" t="s">
        <v>3950</v>
      </c>
      <c r="E95" s="22" t="s">
        <v>4</v>
      </c>
      <c r="F95" s="22" t="s">
        <v>3951</v>
      </c>
      <c r="G95" s="22">
        <v>62914244</v>
      </c>
      <c r="H95" s="22" t="s">
        <v>3668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39">
      <c r="A96" s="22" t="s">
        <v>3952</v>
      </c>
      <c r="B96" s="22" t="s">
        <v>907</v>
      </c>
      <c r="C96" s="22" t="str">
        <f t="shared" si="1"/>
        <v>Lisa Goh</v>
      </c>
      <c r="D96" s="22" t="s">
        <v>3953</v>
      </c>
      <c r="E96" s="22" t="s">
        <v>4</v>
      </c>
      <c r="F96" s="22" t="s">
        <v>3954</v>
      </c>
      <c r="G96" s="22">
        <v>6582221766</v>
      </c>
      <c r="H96" s="22" t="s">
        <v>3668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39">
      <c r="A97" s="22" t="s">
        <v>4812</v>
      </c>
      <c r="B97" s="22" t="s">
        <v>907</v>
      </c>
      <c r="C97" s="22" t="str">
        <f t="shared" si="1"/>
        <v>Weilin Goh</v>
      </c>
      <c r="D97" s="22" t="s">
        <v>3955</v>
      </c>
      <c r="E97" s="22" t="s">
        <v>4</v>
      </c>
      <c r="F97" s="22" t="s">
        <v>3956</v>
      </c>
      <c r="G97" s="22">
        <v>97437573</v>
      </c>
      <c r="H97" s="22" t="s">
        <v>3668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39">
      <c r="A98" s="22" t="s">
        <v>2279</v>
      </c>
      <c r="B98" s="22" t="s">
        <v>3957</v>
      </c>
      <c r="C98" s="22" t="str">
        <f t="shared" si="1"/>
        <v>Cassandra Tsan</v>
      </c>
      <c r="D98" s="22" t="s">
        <v>3958</v>
      </c>
      <c r="E98" s="22" t="s">
        <v>4</v>
      </c>
      <c r="F98" s="22" t="s">
        <v>3959</v>
      </c>
      <c r="G98" s="22">
        <v>87756575</v>
      </c>
      <c r="H98" s="22" t="s">
        <v>3668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3">
      <c r="A99" s="22" t="s">
        <v>3960</v>
      </c>
      <c r="B99" s="22" t="s">
        <v>821</v>
      </c>
      <c r="C99" s="22" t="str">
        <f t="shared" si="1"/>
        <v>Charmaine Lee</v>
      </c>
      <c r="D99" s="22" t="s">
        <v>3961</v>
      </c>
      <c r="E99" s="22" t="s">
        <v>4</v>
      </c>
      <c r="F99" s="22" t="s">
        <v>3962</v>
      </c>
      <c r="G99" s="22">
        <v>91393930</v>
      </c>
      <c r="H99" s="22" t="s">
        <v>3668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39">
      <c r="A100" s="22" t="s">
        <v>530</v>
      </c>
      <c r="B100" s="22" t="s">
        <v>702</v>
      </c>
      <c r="C100" s="22" t="str">
        <f t="shared" si="1"/>
        <v>Ashley Lim</v>
      </c>
      <c r="D100" s="22" t="s">
        <v>3963</v>
      </c>
      <c r="E100" s="22" t="s">
        <v>4</v>
      </c>
      <c r="F100" s="22" t="s">
        <v>3964</v>
      </c>
      <c r="G100" s="22">
        <v>91333513</v>
      </c>
      <c r="H100" s="22" t="s">
        <v>3668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3">
      <c r="A101" s="22" t="s">
        <v>4558</v>
      </c>
      <c r="B101" s="22" t="s">
        <v>550</v>
      </c>
      <c r="C101" s="22" t="str">
        <f t="shared" si="1"/>
        <v>Lauren Chew</v>
      </c>
      <c r="D101" s="22" t="s">
        <v>3965</v>
      </c>
      <c r="E101" s="22" t="s">
        <v>4</v>
      </c>
      <c r="F101" s="22" t="s">
        <v>3966</v>
      </c>
      <c r="G101" s="22">
        <v>97312902</v>
      </c>
      <c r="H101" s="22" t="s">
        <v>3668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26">
      <c r="A102" s="22" t="s">
        <v>3967</v>
      </c>
      <c r="B102" s="22" t="s">
        <v>4814</v>
      </c>
      <c r="C102" s="22" t="str">
        <f t="shared" si="1"/>
        <v>Ahshida Razali</v>
      </c>
      <c r="D102" s="22" t="s">
        <v>3968</v>
      </c>
      <c r="E102" s="22" t="s">
        <v>4</v>
      </c>
      <c r="F102" s="22" t="s">
        <v>3969</v>
      </c>
      <c r="G102" s="22">
        <v>97760087</v>
      </c>
      <c r="H102" s="22" t="s">
        <v>3668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26">
      <c r="A103" s="22" t="s">
        <v>3080</v>
      </c>
      <c r="B103" s="22" t="s">
        <v>3970</v>
      </c>
      <c r="C103" s="22" t="str">
        <f t="shared" si="1"/>
        <v>Jessica Elizabeth</v>
      </c>
      <c r="D103" s="22" t="s">
        <v>3971</v>
      </c>
      <c r="E103" s="22" t="s">
        <v>4</v>
      </c>
      <c r="F103" s="23" t="s">
        <v>3972</v>
      </c>
      <c r="G103" s="22">
        <v>91654331</v>
      </c>
      <c r="H103" s="22" t="s">
        <v>3668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3">
      <c r="A104" s="22" t="s">
        <v>3973</v>
      </c>
      <c r="B104" s="22" t="s">
        <v>950</v>
      </c>
      <c r="C104" s="22" t="str">
        <f t="shared" si="1"/>
        <v>Ananthan K</v>
      </c>
      <c r="D104" s="22" t="s">
        <v>3974</v>
      </c>
      <c r="E104" s="22" t="s">
        <v>4</v>
      </c>
      <c r="F104" s="22" t="s">
        <v>3975</v>
      </c>
      <c r="G104" s="22">
        <v>92718283</v>
      </c>
      <c r="H104" s="22" t="s">
        <v>3668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39">
      <c r="A105" s="22" t="s">
        <v>4813</v>
      </c>
      <c r="B105" s="22" t="s">
        <v>3976</v>
      </c>
      <c r="C105" s="22" t="str">
        <f t="shared" si="1"/>
        <v>Danny Chambers</v>
      </c>
      <c r="D105" s="22" t="s">
        <v>3977</v>
      </c>
      <c r="E105" s="22" t="s">
        <v>4</v>
      </c>
      <c r="F105" s="22" t="s">
        <v>3978</v>
      </c>
      <c r="G105" s="22">
        <f>6590270177</f>
        <v>6590270177</v>
      </c>
      <c r="H105" s="22" t="s">
        <v>3668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26">
      <c r="A106" s="22" t="s">
        <v>4650</v>
      </c>
      <c r="B106" s="22" t="s">
        <v>473</v>
      </c>
      <c r="C106" s="22" t="str">
        <f t="shared" si="1"/>
        <v>Wiki Chua</v>
      </c>
      <c r="D106" s="22" t="s">
        <v>3979</v>
      </c>
      <c r="E106" s="22" t="s">
        <v>4</v>
      </c>
      <c r="F106" s="22" t="s">
        <v>2923</v>
      </c>
      <c r="G106" s="22">
        <v>96261913</v>
      </c>
      <c r="H106" s="22" t="s">
        <v>3668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3">
      <c r="A107" s="22" t="s">
        <v>3980</v>
      </c>
      <c r="B107" s="22" t="s">
        <v>778</v>
      </c>
      <c r="C107" s="22" t="str">
        <f t="shared" si="1"/>
        <v>christian tan</v>
      </c>
      <c r="D107" s="22" t="s">
        <v>3981</v>
      </c>
      <c r="E107" s="22" t="s">
        <v>4</v>
      </c>
      <c r="F107" s="22" t="s">
        <v>3982</v>
      </c>
      <c r="G107" s="22">
        <v>91878893</v>
      </c>
      <c r="H107" s="22" t="s">
        <v>3668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26">
      <c r="A108" s="22" t="s">
        <v>3983</v>
      </c>
      <c r="B108" s="22" t="s">
        <v>3984</v>
      </c>
      <c r="C108" s="22" t="str">
        <f t="shared" si="1"/>
        <v>Bharadh Raj</v>
      </c>
      <c r="D108" s="22" t="s">
        <v>3985</v>
      </c>
      <c r="E108" s="22" t="s">
        <v>4</v>
      </c>
      <c r="F108" s="22" t="s">
        <v>3986</v>
      </c>
      <c r="G108" s="22">
        <v>87393509</v>
      </c>
      <c r="H108" s="22" t="s">
        <v>3668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26">
      <c r="A109" s="22" t="s">
        <v>372</v>
      </c>
      <c r="B109" s="22" t="s">
        <v>372</v>
      </c>
      <c r="C109" s="22" t="str">
        <f t="shared" si="1"/>
        <v>Tan Tan</v>
      </c>
      <c r="D109" s="22" t="s">
        <v>3987</v>
      </c>
      <c r="E109" s="22" t="s">
        <v>4</v>
      </c>
      <c r="F109" s="22" t="s">
        <v>3988</v>
      </c>
      <c r="G109" s="22">
        <v>63450301</v>
      </c>
      <c r="H109" s="22" t="s">
        <v>3668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3">
      <c r="A110" s="22" t="s">
        <v>3989</v>
      </c>
      <c r="B110" s="22" t="s">
        <v>702</v>
      </c>
      <c r="C110" s="22" t="str">
        <f t="shared" si="1"/>
        <v>Hui Jun Lim</v>
      </c>
      <c r="D110" s="22" t="s">
        <v>3990</v>
      </c>
      <c r="E110" s="22" t="s">
        <v>4</v>
      </c>
      <c r="F110" s="22" t="s">
        <v>3991</v>
      </c>
      <c r="G110" s="22">
        <v>98589957</v>
      </c>
      <c r="H110" s="22" t="s">
        <v>3668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26">
      <c r="A111" s="22" t="s">
        <v>3992</v>
      </c>
      <c r="B111" s="22" t="s">
        <v>349</v>
      </c>
      <c r="C111" s="22" t="str">
        <f t="shared" si="1"/>
        <v>Cristabel Chang</v>
      </c>
      <c r="D111" s="22" t="s">
        <v>3993</v>
      </c>
      <c r="E111" s="22" t="s">
        <v>4</v>
      </c>
      <c r="F111" s="22" t="s">
        <v>3994</v>
      </c>
      <c r="G111" s="22">
        <v>96466687</v>
      </c>
      <c r="H111" s="22" t="s">
        <v>3668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39">
      <c r="A112" s="22" t="s">
        <v>596</v>
      </c>
      <c r="B112" s="22" t="s">
        <v>3995</v>
      </c>
      <c r="C112" s="22" t="str">
        <f t="shared" si="1"/>
        <v>Sean Tey</v>
      </c>
      <c r="D112" s="22" t="s">
        <v>3996</v>
      </c>
      <c r="E112" s="22" t="s">
        <v>4</v>
      </c>
      <c r="F112" s="23" t="s">
        <v>3997</v>
      </c>
      <c r="G112" s="22">
        <v>97991231</v>
      </c>
      <c r="H112" s="22" t="s">
        <v>3668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3">
      <c r="A113" s="22" t="s">
        <v>1255</v>
      </c>
      <c r="B113" s="22" t="s">
        <v>3998</v>
      </c>
      <c r="C113" s="22" t="str">
        <f t="shared" si="1"/>
        <v>Esther Hoong</v>
      </c>
      <c r="D113" s="22" t="s">
        <v>3999</v>
      </c>
      <c r="E113" s="22" t="s">
        <v>4</v>
      </c>
      <c r="F113" s="22" t="s">
        <v>4000</v>
      </c>
      <c r="G113" s="22">
        <v>94356662</v>
      </c>
      <c r="H113" s="22" t="s">
        <v>3668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3">
      <c r="A114" s="22" t="s">
        <v>596</v>
      </c>
      <c r="B114" s="22" t="s">
        <v>3995</v>
      </c>
      <c r="C114" s="22" t="str">
        <f t="shared" si="1"/>
        <v>Sean Tey</v>
      </c>
      <c r="D114" s="22" t="s">
        <v>4001</v>
      </c>
      <c r="E114" s="22" t="s">
        <v>4</v>
      </c>
      <c r="F114" s="23" t="s">
        <v>3997</v>
      </c>
      <c r="G114" s="22">
        <v>64101806</v>
      </c>
      <c r="H114" s="22" t="s">
        <v>3668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3">
      <c r="A115" s="22" t="s">
        <v>4002</v>
      </c>
      <c r="B115" s="22" t="s">
        <v>1503</v>
      </c>
      <c r="C115" s="22" t="str">
        <f t="shared" si="1"/>
        <v>Kieran -</v>
      </c>
      <c r="D115" s="22" t="s">
        <v>1503</v>
      </c>
      <c r="E115" s="22" t="s">
        <v>1491</v>
      </c>
      <c r="F115" s="23" t="s">
        <v>4003</v>
      </c>
      <c r="G115" s="22" t="s">
        <v>1503</v>
      </c>
      <c r="H115" s="22" t="s">
        <v>3668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3">
      <c r="A116" s="22" t="s">
        <v>4004</v>
      </c>
      <c r="B116" s="22" t="s">
        <v>4004</v>
      </c>
      <c r="C116" s="22" t="str">
        <f t="shared" si="1"/>
        <v>Ruth Ruth</v>
      </c>
      <c r="D116" s="22" t="s">
        <v>4005</v>
      </c>
      <c r="E116" s="22" t="s">
        <v>1491</v>
      </c>
      <c r="F116" s="23" t="s">
        <v>4006</v>
      </c>
      <c r="G116" s="22">
        <v>97881214</v>
      </c>
      <c r="H116" s="22" t="s">
        <v>3668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</sheetData>
  <autoFilter ref="A1:U1" xr:uid="{00000000-0001-0000-0500-000000000000}"/>
  <hyperlinks>
    <hyperlink ref="D42" r:id="rId1" xr:uid="{00000000-0004-0000-0500-000000000000}"/>
    <hyperlink ref="F42" r:id="rId2" xr:uid="{00000000-0004-0000-0500-000001000000}"/>
    <hyperlink ref="F43" r:id="rId3" xr:uid="{00000000-0004-0000-0500-000002000000}"/>
    <hyperlink ref="F44" r:id="rId4" xr:uid="{00000000-0004-0000-0500-000003000000}"/>
    <hyperlink ref="F47" r:id="rId5" xr:uid="{00000000-0004-0000-0500-000004000000}"/>
    <hyperlink ref="F48" r:id="rId6" xr:uid="{00000000-0004-0000-0500-000005000000}"/>
    <hyperlink ref="F50" r:id="rId7" xr:uid="{00000000-0004-0000-0500-000006000000}"/>
    <hyperlink ref="F51" r:id="rId8" xr:uid="{00000000-0004-0000-0500-000007000000}"/>
    <hyperlink ref="F52" r:id="rId9" xr:uid="{00000000-0004-0000-0500-000008000000}"/>
    <hyperlink ref="F55" r:id="rId10" xr:uid="{00000000-0004-0000-0500-000009000000}"/>
    <hyperlink ref="F59" r:id="rId11" xr:uid="{00000000-0004-0000-0500-00000A000000}"/>
    <hyperlink ref="F60" r:id="rId12" xr:uid="{00000000-0004-0000-0500-00000B000000}"/>
    <hyperlink ref="F61" r:id="rId13" xr:uid="{00000000-0004-0000-0500-00000C000000}"/>
    <hyperlink ref="F62" r:id="rId14" xr:uid="{00000000-0004-0000-0500-00000D000000}"/>
    <hyperlink ref="F65" r:id="rId15" xr:uid="{00000000-0004-0000-0500-00000E000000}"/>
    <hyperlink ref="F66" r:id="rId16" xr:uid="{00000000-0004-0000-0500-00000F000000}"/>
    <hyperlink ref="F70" r:id="rId17" xr:uid="{00000000-0004-0000-0500-000010000000}"/>
    <hyperlink ref="F103" r:id="rId18" xr:uid="{00000000-0004-0000-0500-000011000000}"/>
    <hyperlink ref="F112" r:id="rId19" xr:uid="{00000000-0004-0000-0500-000012000000}"/>
    <hyperlink ref="F114" r:id="rId20" xr:uid="{00000000-0004-0000-0500-000013000000}"/>
    <hyperlink ref="F115" r:id="rId21" xr:uid="{00000000-0004-0000-0500-000014000000}"/>
    <hyperlink ref="F116" r:id="rId22" xr:uid="{00000000-0004-0000-0500-00001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30"/>
  <sheetViews>
    <sheetView tabSelected="1" workbookViewId="0">
      <selection activeCell="B1" sqref="B1"/>
    </sheetView>
  </sheetViews>
  <sheetFormatPr defaultColWidth="12.6328125" defaultRowHeight="15.75" customHeight="1"/>
  <cols>
    <col min="1" max="1" width="40" customWidth="1"/>
    <col min="2" max="2" width="55.7265625" customWidth="1"/>
  </cols>
  <sheetData>
    <row r="1" spans="1:2" ht="15.75" customHeight="1">
      <c r="A1" t="s">
        <v>4388</v>
      </c>
      <c r="B1" t="s">
        <v>4390</v>
      </c>
    </row>
    <row r="2" spans="1:2" ht="15.75" customHeight="1">
      <c r="A2" s="25" t="s">
        <v>4007</v>
      </c>
      <c r="B2" s="25" t="s">
        <v>4008</v>
      </c>
    </row>
    <row r="3" spans="1:2" ht="15.75" customHeight="1">
      <c r="A3" s="25" t="s">
        <v>4009</v>
      </c>
      <c r="B3" s="26"/>
    </row>
    <row r="4" spans="1:2" ht="15.75" customHeight="1">
      <c r="A4" s="25" t="s">
        <v>4010</v>
      </c>
      <c r="B4" s="26"/>
    </row>
    <row r="5" spans="1:2" ht="15.75" customHeight="1">
      <c r="A5" s="25" t="s">
        <v>4011</v>
      </c>
      <c r="B5" s="25" t="s">
        <v>4012</v>
      </c>
    </row>
    <row r="6" spans="1:2" ht="15.75" customHeight="1">
      <c r="A6" s="25" t="s">
        <v>4013</v>
      </c>
      <c r="B6" s="26"/>
    </row>
    <row r="7" spans="1:2" ht="15.75" customHeight="1">
      <c r="A7" s="25" t="s">
        <v>4014</v>
      </c>
      <c r="B7" s="25">
        <v>96994917</v>
      </c>
    </row>
    <row r="8" spans="1:2" ht="15.75" customHeight="1">
      <c r="A8" s="25" t="s">
        <v>4015</v>
      </c>
      <c r="B8" s="25" t="s">
        <v>4016</v>
      </c>
    </row>
    <row r="9" spans="1:2" ht="15.75" customHeight="1">
      <c r="A9" s="25" t="s">
        <v>4017</v>
      </c>
      <c r="B9" s="25" t="s">
        <v>4018</v>
      </c>
    </row>
    <row r="10" spans="1:2" ht="15.75" customHeight="1">
      <c r="A10" s="25" t="s">
        <v>4019</v>
      </c>
      <c r="B10" s="25">
        <v>94577619</v>
      </c>
    </row>
    <row r="11" spans="1:2" ht="15.75" customHeight="1">
      <c r="A11" s="25" t="s">
        <v>4020</v>
      </c>
      <c r="B11" s="25" t="s">
        <v>4021</v>
      </c>
    </row>
    <row r="12" spans="1:2" ht="15.75" customHeight="1">
      <c r="A12" s="25" t="s">
        <v>4022</v>
      </c>
      <c r="B12" s="25">
        <v>98198722</v>
      </c>
    </row>
    <row r="13" spans="1:2" ht="15.75" customHeight="1">
      <c r="A13" s="25" t="s">
        <v>4023</v>
      </c>
      <c r="B13" s="25">
        <v>62848226</v>
      </c>
    </row>
    <row r="14" spans="1:2" ht="15.75" customHeight="1">
      <c r="A14" s="25" t="s">
        <v>4024</v>
      </c>
      <c r="B14" s="25">
        <v>66342371</v>
      </c>
    </row>
    <row r="15" spans="1:2" ht="15.75" customHeight="1">
      <c r="A15" s="25" t="s">
        <v>4025</v>
      </c>
      <c r="B15" s="25">
        <v>62981010</v>
      </c>
    </row>
    <row r="16" spans="1:2" ht="15.75" customHeight="1">
      <c r="A16" s="25" t="s">
        <v>4026</v>
      </c>
      <c r="B16" s="25">
        <v>66885657</v>
      </c>
    </row>
    <row r="17" spans="1:2" ht="15.75" customHeight="1">
      <c r="A17" s="25" t="s">
        <v>4027</v>
      </c>
      <c r="B17" s="25" t="s">
        <v>4028</v>
      </c>
    </row>
    <row r="18" spans="1:2" ht="15.75" customHeight="1">
      <c r="A18" s="25" t="s">
        <v>4029</v>
      </c>
      <c r="B18" s="25">
        <v>93808280</v>
      </c>
    </row>
    <row r="19" spans="1:2" ht="15.75" customHeight="1">
      <c r="A19" s="25" t="s">
        <v>4030</v>
      </c>
      <c r="B19" s="25" t="s">
        <v>4031</v>
      </c>
    </row>
    <row r="20" spans="1:2" ht="15.75" customHeight="1">
      <c r="A20" s="25" t="s">
        <v>4032</v>
      </c>
      <c r="B20" s="25" t="s">
        <v>4033</v>
      </c>
    </row>
    <row r="21" spans="1:2" ht="15.75" customHeight="1">
      <c r="A21" s="25" t="s">
        <v>4034</v>
      </c>
      <c r="B21" s="25">
        <v>81330760</v>
      </c>
    </row>
    <row r="22" spans="1:2" ht="15.75" customHeight="1">
      <c r="A22" s="25" t="s">
        <v>4035</v>
      </c>
      <c r="B22" s="25">
        <v>62502433</v>
      </c>
    </row>
    <row r="23" spans="1:2" ht="15.75" customHeight="1">
      <c r="A23" s="25" t="s">
        <v>4036</v>
      </c>
      <c r="B23" s="25">
        <v>66874204</v>
      </c>
    </row>
    <row r="24" spans="1:2" ht="15.75" customHeight="1">
      <c r="A24" s="25" t="s">
        <v>4037</v>
      </c>
      <c r="B24" s="25">
        <v>62222048</v>
      </c>
    </row>
    <row r="25" spans="1:2" ht="14.5">
      <c r="A25" s="25" t="s">
        <v>4038</v>
      </c>
      <c r="B25" s="25" t="s">
        <v>4039</v>
      </c>
    </row>
    <row r="26" spans="1:2" ht="14.5">
      <c r="A26" s="25" t="s">
        <v>4040</v>
      </c>
      <c r="B26" s="25">
        <v>93399516</v>
      </c>
    </row>
    <row r="27" spans="1:2" ht="14.5">
      <c r="A27" s="25" t="s">
        <v>4041</v>
      </c>
      <c r="B27" s="25">
        <v>67326966</v>
      </c>
    </row>
    <row r="28" spans="1:2" ht="14.5">
      <c r="A28" s="25" t="s">
        <v>4042</v>
      </c>
      <c r="B28" s="25" t="s">
        <v>4043</v>
      </c>
    </row>
    <row r="29" spans="1:2" ht="14.5">
      <c r="A29" s="25" t="s">
        <v>4044</v>
      </c>
      <c r="B29" s="25">
        <v>65103068</v>
      </c>
    </row>
    <row r="30" spans="1:2" ht="14.5">
      <c r="A30" s="25" t="s">
        <v>4045</v>
      </c>
      <c r="B30" s="25">
        <v>63373303</v>
      </c>
    </row>
    <row r="31" spans="1:2" ht="14.5">
      <c r="A31" s="25" t="s">
        <v>4046</v>
      </c>
      <c r="B31" s="25">
        <v>67373774</v>
      </c>
    </row>
    <row r="32" spans="1:2" ht="14.5">
      <c r="A32" s="25" t="s">
        <v>4047</v>
      </c>
      <c r="B32" s="25">
        <v>83839719</v>
      </c>
    </row>
    <row r="33" spans="1:2" ht="14.5">
      <c r="A33" s="25" t="s">
        <v>4048</v>
      </c>
      <c r="B33" s="25">
        <v>97842469</v>
      </c>
    </row>
    <row r="34" spans="1:2" ht="14.5">
      <c r="A34" s="25" t="s">
        <v>4049</v>
      </c>
      <c r="B34" s="26"/>
    </row>
    <row r="35" spans="1:2" ht="14.5">
      <c r="A35" s="25" t="s">
        <v>4050</v>
      </c>
      <c r="B35" s="25" t="s">
        <v>4051</v>
      </c>
    </row>
    <row r="36" spans="1:2" ht="14.5">
      <c r="A36" s="25" t="s">
        <v>4052</v>
      </c>
      <c r="B36" s="25">
        <v>65333951</v>
      </c>
    </row>
    <row r="37" spans="1:2" ht="14.5">
      <c r="A37" s="25" t="s">
        <v>4053</v>
      </c>
      <c r="B37" s="25" t="s">
        <v>4054</v>
      </c>
    </row>
    <row r="38" spans="1:2" ht="14.5">
      <c r="A38" s="25" t="s">
        <v>4055</v>
      </c>
      <c r="B38" s="25">
        <v>66369411</v>
      </c>
    </row>
    <row r="39" spans="1:2" ht="14.5">
      <c r="A39" s="25" t="s">
        <v>4056</v>
      </c>
      <c r="B39" s="25">
        <v>63338015</v>
      </c>
    </row>
    <row r="40" spans="1:2" ht="14.5">
      <c r="A40" s="25" t="s">
        <v>4057</v>
      </c>
      <c r="B40" s="25" t="s">
        <v>4058</v>
      </c>
    </row>
    <row r="41" spans="1:2" ht="14.5">
      <c r="A41" s="25" t="s">
        <v>4059</v>
      </c>
      <c r="B41" s="26"/>
    </row>
    <row r="42" spans="1:2" ht="14.5">
      <c r="A42" s="25" t="s">
        <v>4060</v>
      </c>
      <c r="B42" s="26"/>
    </row>
    <row r="43" spans="1:2" ht="14.5">
      <c r="A43" s="25" t="s">
        <v>4061</v>
      </c>
      <c r="B43" s="26"/>
    </row>
    <row r="44" spans="1:2" ht="14.5">
      <c r="A44" s="25" t="s">
        <v>4062</v>
      </c>
      <c r="B44" s="25" t="s">
        <v>4063</v>
      </c>
    </row>
    <row r="45" spans="1:2" ht="14.5">
      <c r="A45" s="25" t="s">
        <v>2704</v>
      </c>
      <c r="B45" s="25">
        <v>97328163</v>
      </c>
    </row>
    <row r="46" spans="1:2" ht="14.5">
      <c r="A46" s="25" t="s">
        <v>4064</v>
      </c>
      <c r="B46" s="25">
        <v>64649303</v>
      </c>
    </row>
    <row r="47" spans="1:2" ht="14.5">
      <c r="A47" s="25" t="s">
        <v>4065</v>
      </c>
      <c r="B47" s="25" t="s">
        <v>4066</v>
      </c>
    </row>
    <row r="48" spans="1:2" ht="29">
      <c r="A48" s="25" t="s">
        <v>4067</v>
      </c>
      <c r="B48" s="25" t="s">
        <v>4068</v>
      </c>
    </row>
    <row r="49" spans="1:2" ht="14.5">
      <c r="A49" s="25" t="s">
        <v>4069</v>
      </c>
      <c r="B49" s="25" t="s">
        <v>4066</v>
      </c>
    </row>
    <row r="50" spans="1:2" ht="14.5">
      <c r="A50" s="25" t="s">
        <v>4070</v>
      </c>
      <c r="B50" s="25" t="s">
        <v>4066</v>
      </c>
    </row>
    <row r="51" spans="1:2" ht="14.5">
      <c r="A51" s="25" t="s">
        <v>4071</v>
      </c>
      <c r="B51" s="25" t="s">
        <v>4066</v>
      </c>
    </row>
    <row r="52" spans="1:2" ht="14.5">
      <c r="A52" s="25" t="s">
        <v>4072</v>
      </c>
      <c r="B52" s="25">
        <v>83897877</v>
      </c>
    </row>
    <row r="53" spans="1:2" ht="14.5">
      <c r="A53" s="25" t="s">
        <v>4073</v>
      </c>
      <c r="B53" s="25" t="s">
        <v>4074</v>
      </c>
    </row>
    <row r="54" spans="1:2" ht="14.5">
      <c r="A54" s="25" t="s">
        <v>4075</v>
      </c>
      <c r="B54" s="25" t="s">
        <v>4066</v>
      </c>
    </row>
    <row r="55" spans="1:2" ht="14.5">
      <c r="A55" s="25" t="s">
        <v>4076</v>
      </c>
      <c r="B55" s="25" t="s">
        <v>4077</v>
      </c>
    </row>
    <row r="56" spans="1:2" ht="14.5">
      <c r="A56" s="25" t="s">
        <v>4078</v>
      </c>
      <c r="B56" s="25" t="s">
        <v>4066</v>
      </c>
    </row>
    <row r="57" spans="1:2" ht="14.5">
      <c r="A57" s="25" t="s">
        <v>4079</v>
      </c>
      <c r="B57" s="25" t="s">
        <v>4080</v>
      </c>
    </row>
    <row r="58" spans="1:2" ht="14.5">
      <c r="A58" s="25" t="s">
        <v>4081</v>
      </c>
      <c r="B58" s="25" t="s">
        <v>4066</v>
      </c>
    </row>
    <row r="59" spans="1:2" ht="14.5">
      <c r="A59" s="25" t="s">
        <v>4082</v>
      </c>
      <c r="B59" s="26"/>
    </row>
    <row r="60" spans="1:2" ht="14.5">
      <c r="A60" s="25" t="s">
        <v>4083</v>
      </c>
      <c r="B60" s="25" t="s">
        <v>4387</v>
      </c>
    </row>
    <row r="61" spans="1:2" ht="14.5">
      <c r="A61" s="25" t="s">
        <v>4084</v>
      </c>
      <c r="B61" s="25" t="s">
        <v>4387</v>
      </c>
    </row>
    <row r="62" spans="1:2" ht="14.5">
      <c r="A62" s="25" t="s">
        <v>4085</v>
      </c>
      <c r="B62" s="25" t="s">
        <v>4066</v>
      </c>
    </row>
    <row r="63" spans="1:2" ht="14.5">
      <c r="A63" s="25" t="s">
        <v>4086</v>
      </c>
      <c r="B63" s="26"/>
    </row>
    <row r="64" spans="1:2" ht="14.5">
      <c r="A64" s="25" t="s">
        <v>4087</v>
      </c>
      <c r="B64" s="25">
        <v>62941821</v>
      </c>
    </row>
    <row r="65" spans="1:2" ht="14.5">
      <c r="A65" s="25" t="s">
        <v>4088</v>
      </c>
      <c r="B65" s="25">
        <v>63360013</v>
      </c>
    </row>
    <row r="66" spans="1:2" ht="14.5">
      <c r="A66" s="25" t="s">
        <v>4089</v>
      </c>
      <c r="B66" s="26"/>
    </row>
    <row r="67" spans="1:2" ht="14.5">
      <c r="A67" s="25" t="s">
        <v>4090</v>
      </c>
      <c r="B67" s="25" t="s">
        <v>4066</v>
      </c>
    </row>
    <row r="68" spans="1:2" ht="29">
      <c r="A68" s="25" t="s">
        <v>4091</v>
      </c>
      <c r="B68" s="25">
        <v>64648488</v>
      </c>
    </row>
    <row r="69" spans="1:2" ht="14.5">
      <c r="A69" s="25" t="s">
        <v>4092</v>
      </c>
      <c r="B69" s="25">
        <v>82803061</v>
      </c>
    </row>
    <row r="70" spans="1:2" ht="14.5">
      <c r="A70" s="25" t="s">
        <v>4093</v>
      </c>
      <c r="B70" s="25" t="s">
        <v>4094</v>
      </c>
    </row>
    <row r="71" spans="1:2" ht="14.5">
      <c r="A71" s="25" t="s">
        <v>4095</v>
      </c>
      <c r="B71" s="25" t="s">
        <v>4096</v>
      </c>
    </row>
    <row r="72" spans="1:2" ht="14.5">
      <c r="A72" s="25" t="s">
        <v>4097</v>
      </c>
      <c r="B72" s="25">
        <v>68363352</v>
      </c>
    </row>
    <row r="73" spans="1:2" ht="14.5">
      <c r="A73" s="25" t="s">
        <v>4098</v>
      </c>
      <c r="B73" s="25">
        <v>62914252</v>
      </c>
    </row>
    <row r="74" spans="1:2" ht="14.5">
      <c r="A74" s="25" t="s">
        <v>4099</v>
      </c>
      <c r="B74" s="25" t="s">
        <v>4100</v>
      </c>
    </row>
    <row r="75" spans="1:2" ht="14.5">
      <c r="A75" s="25" t="s">
        <v>4101</v>
      </c>
      <c r="B75" s="25">
        <v>81219993</v>
      </c>
    </row>
    <row r="76" spans="1:2" ht="14.5">
      <c r="A76" s="25" t="s">
        <v>4102</v>
      </c>
      <c r="B76" s="26"/>
    </row>
    <row r="77" spans="1:2" ht="14.5">
      <c r="A77" s="25" t="s">
        <v>4103</v>
      </c>
      <c r="B77" s="25" t="s">
        <v>4066</v>
      </c>
    </row>
    <row r="78" spans="1:2" ht="14.5">
      <c r="A78" s="25" t="s">
        <v>4104</v>
      </c>
      <c r="B78" s="25" t="s">
        <v>4066</v>
      </c>
    </row>
    <row r="79" spans="1:2" ht="14.5">
      <c r="A79" s="25" t="s">
        <v>4105</v>
      </c>
      <c r="B79" s="25">
        <v>62911629</v>
      </c>
    </row>
    <row r="80" spans="1:2" ht="14.5">
      <c r="A80" s="25" t="s">
        <v>4106</v>
      </c>
      <c r="B80" s="25">
        <v>68288888</v>
      </c>
    </row>
    <row r="81" spans="1:2" ht="14.5">
      <c r="A81" s="25" t="s">
        <v>4107</v>
      </c>
      <c r="B81" s="25">
        <v>62651004</v>
      </c>
    </row>
    <row r="82" spans="1:2" ht="14.5">
      <c r="A82" s="25" t="s">
        <v>4108</v>
      </c>
      <c r="B82" s="25">
        <v>62988933</v>
      </c>
    </row>
    <row r="83" spans="1:2" ht="14.5">
      <c r="A83" s="25" t="s">
        <v>4109</v>
      </c>
      <c r="B83" s="26"/>
    </row>
    <row r="84" spans="1:2" ht="14.5">
      <c r="A84" s="25" t="s">
        <v>4110</v>
      </c>
      <c r="B84" s="25">
        <v>67559811</v>
      </c>
    </row>
    <row r="85" spans="1:2" ht="14.5">
      <c r="A85" s="25" t="s">
        <v>4111</v>
      </c>
      <c r="B85" s="25" t="s">
        <v>4112</v>
      </c>
    </row>
    <row r="86" spans="1:2" ht="14.5">
      <c r="A86" s="25" t="s">
        <v>4113</v>
      </c>
      <c r="B86" s="25">
        <v>62358370</v>
      </c>
    </row>
    <row r="87" spans="1:2" ht="14.5">
      <c r="A87" s="25" t="s">
        <v>4114</v>
      </c>
      <c r="B87" s="25">
        <v>66358677</v>
      </c>
    </row>
    <row r="88" spans="1:2" ht="14.5">
      <c r="A88" s="25" t="s">
        <v>4115</v>
      </c>
      <c r="B88" s="25" t="s">
        <v>4387</v>
      </c>
    </row>
    <row r="89" spans="1:2" ht="14.5">
      <c r="A89" s="25" t="s">
        <v>4116</v>
      </c>
      <c r="B89" s="25" t="s">
        <v>4387</v>
      </c>
    </row>
    <row r="90" spans="1:2" ht="14.5">
      <c r="A90" s="25" t="s">
        <v>4117</v>
      </c>
      <c r="B90" s="25">
        <v>66844567</v>
      </c>
    </row>
    <row r="91" spans="1:2" ht="14.5">
      <c r="A91" s="25" t="s">
        <v>4118</v>
      </c>
      <c r="B91" s="25">
        <v>62616887</v>
      </c>
    </row>
    <row r="92" spans="1:2" ht="14.5">
      <c r="A92" s="25" t="s">
        <v>4119</v>
      </c>
      <c r="B92" s="25" t="s">
        <v>4120</v>
      </c>
    </row>
    <row r="93" spans="1:2" ht="14.5">
      <c r="A93" s="25" t="s">
        <v>4121</v>
      </c>
      <c r="B93" s="25">
        <v>63339973</v>
      </c>
    </row>
    <row r="94" spans="1:2" ht="14.5">
      <c r="A94" s="25" t="s">
        <v>4122</v>
      </c>
      <c r="B94" s="25" t="s">
        <v>4387</v>
      </c>
    </row>
    <row r="95" spans="1:2" ht="14.5">
      <c r="A95" s="25" t="s">
        <v>4123</v>
      </c>
      <c r="B95" s="26"/>
    </row>
    <row r="96" spans="1:2" ht="14.5">
      <c r="A96" s="25" t="s">
        <v>4124</v>
      </c>
      <c r="B96" s="25" t="s">
        <v>4125</v>
      </c>
    </row>
    <row r="97" spans="1:2" ht="14.5">
      <c r="A97" s="25" t="s">
        <v>4126</v>
      </c>
      <c r="B97" s="25" t="s">
        <v>4127</v>
      </c>
    </row>
    <row r="98" spans="1:2" ht="14.5">
      <c r="A98" s="25" t="s">
        <v>4128</v>
      </c>
      <c r="B98" s="25">
        <v>65703213</v>
      </c>
    </row>
    <row r="99" spans="1:2" ht="14.5">
      <c r="A99" s="25" t="s">
        <v>4129</v>
      </c>
      <c r="B99" s="25">
        <v>91732779</v>
      </c>
    </row>
    <row r="100" spans="1:2" ht="14.5">
      <c r="A100" s="25" t="s">
        <v>4130</v>
      </c>
      <c r="B100" s="25">
        <v>62708003</v>
      </c>
    </row>
    <row r="101" spans="1:2" ht="14.5">
      <c r="A101" s="25" t="s">
        <v>4131</v>
      </c>
      <c r="B101" s="25">
        <v>67781788</v>
      </c>
    </row>
    <row r="102" spans="1:2" ht="14.5">
      <c r="A102" s="25" t="s">
        <v>4132</v>
      </c>
      <c r="B102" s="25" t="s">
        <v>4133</v>
      </c>
    </row>
    <row r="103" spans="1:2" ht="14.5">
      <c r="A103" s="25" t="s">
        <v>4134</v>
      </c>
      <c r="B103" s="26"/>
    </row>
    <row r="104" spans="1:2" ht="14.5">
      <c r="A104" s="25" t="s">
        <v>4135</v>
      </c>
      <c r="B104" s="25">
        <v>62210150</v>
      </c>
    </row>
    <row r="105" spans="1:2" ht="14.5">
      <c r="A105" s="25" t="s">
        <v>4136</v>
      </c>
      <c r="B105" s="25" t="s">
        <v>4387</v>
      </c>
    </row>
    <row r="106" spans="1:2" ht="14.5">
      <c r="A106" s="25" t="s">
        <v>4137</v>
      </c>
      <c r="B106" s="25">
        <v>64895679</v>
      </c>
    </row>
    <row r="107" spans="1:2" ht="14.5">
      <c r="A107" s="25" t="s">
        <v>4138</v>
      </c>
      <c r="B107" s="25">
        <v>81574136</v>
      </c>
    </row>
    <row r="108" spans="1:2" ht="14.5">
      <c r="A108" s="25" t="s">
        <v>4139</v>
      </c>
      <c r="B108" s="25" t="s">
        <v>4387</v>
      </c>
    </row>
    <row r="109" spans="1:2" ht="14.5">
      <c r="A109" s="25" t="s">
        <v>4140</v>
      </c>
      <c r="B109" s="25">
        <v>64466928</v>
      </c>
    </row>
    <row r="110" spans="1:2" ht="14.5">
      <c r="A110" s="25" t="s">
        <v>4141</v>
      </c>
      <c r="B110" s="25">
        <v>91267797</v>
      </c>
    </row>
    <row r="111" spans="1:2" ht="14.5">
      <c r="A111" s="25" t="s">
        <v>4142</v>
      </c>
      <c r="B111" s="25">
        <v>63360050</v>
      </c>
    </row>
    <row r="112" spans="1:2" ht="14.5">
      <c r="A112" s="25" t="s">
        <v>4143</v>
      </c>
      <c r="B112" s="25">
        <v>83633340</v>
      </c>
    </row>
    <row r="113" spans="1:2" ht="14.5">
      <c r="A113" s="25" t="s">
        <v>4144</v>
      </c>
      <c r="B113" s="25">
        <v>63360797</v>
      </c>
    </row>
    <row r="114" spans="1:2" ht="14.5">
      <c r="A114" s="25" t="s">
        <v>4145</v>
      </c>
      <c r="B114" s="25">
        <v>62260500</v>
      </c>
    </row>
    <row r="115" spans="1:2" ht="14.5">
      <c r="A115" s="25" t="s">
        <v>4146</v>
      </c>
      <c r="B115" s="26"/>
    </row>
    <row r="116" spans="1:2" ht="14.5">
      <c r="A116" s="25" t="s">
        <v>4147</v>
      </c>
      <c r="B116" s="25">
        <v>97367480</v>
      </c>
    </row>
    <row r="117" spans="1:2" ht="14.5">
      <c r="A117" s="25" t="s">
        <v>4148</v>
      </c>
      <c r="B117" s="25">
        <v>64389982</v>
      </c>
    </row>
    <row r="118" spans="1:2" ht="14.5">
      <c r="A118" s="25" t="s">
        <v>4149</v>
      </c>
      <c r="B118" s="25">
        <v>63279280</v>
      </c>
    </row>
    <row r="119" spans="1:2" ht="14.5">
      <c r="A119" s="25" t="s">
        <v>4150</v>
      </c>
      <c r="B119" s="25">
        <v>66038855</v>
      </c>
    </row>
    <row r="120" spans="1:2" ht="14.5">
      <c r="A120" s="25" t="s">
        <v>4151</v>
      </c>
      <c r="B120" s="25">
        <v>65360572</v>
      </c>
    </row>
    <row r="121" spans="1:2" ht="14.5">
      <c r="A121" s="25" t="s">
        <v>4152</v>
      </c>
      <c r="B121" s="25">
        <v>64449672</v>
      </c>
    </row>
    <row r="122" spans="1:2" ht="14.5">
      <c r="A122" s="25" t="s">
        <v>4153</v>
      </c>
      <c r="B122" s="25">
        <v>67323202</v>
      </c>
    </row>
    <row r="123" spans="1:2" ht="14.5">
      <c r="A123" s="25" t="s">
        <v>4154</v>
      </c>
      <c r="B123" s="25" t="s">
        <v>4387</v>
      </c>
    </row>
    <row r="124" spans="1:2" ht="14.5">
      <c r="A124" s="25" t="s">
        <v>4155</v>
      </c>
      <c r="B124" s="25">
        <v>98621981</v>
      </c>
    </row>
    <row r="125" spans="1:2" ht="14.5">
      <c r="A125" s="25" t="s">
        <v>4156</v>
      </c>
      <c r="B125" s="25">
        <v>90255121</v>
      </c>
    </row>
    <row r="126" spans="1:2" ht="14.5">
      <c r="A126" s="25" t="s">
        <v>4157</v>
      </c>
      <c r="B126" s="25">
        <v>63245017</v>
      </c>
    </row>
    <row r="127" spans="1:2" ht="14.5">
      <c r="A127" s="25" t="s">
        <v>4158</v>
      </c>
      <c r="B127" s="25" t="s">
        <v>4387</v>
      </c>
    </row>
    <row r="128" spans="1:2" ht="14.5">
      <c r="A128" s="25" t="s">
        <v>4159</v>
      </c>
      <c r="B128" s="25">
        <v>98773310</v>
      </c>
    </row>
    <row r="129" spans="1:2" ht="14.5">
      <c r="A129" s="25" t="s">
        <v>4160</v>
      </c>
      <c r="B129" s="25">
        <v>68448553</v>
      </c>
    </row>
    <row r="130" spans="1:2" ht="14.5">
      <c r="A130" s="25" t="s">
        <v>4161</v>
      </c>
      <c r="B130" s="25">
        <v>82339810</v>
      </c>
    </row>
    <row r="131" spans="1:2" ht="14.5">
      <c r="A131" s="25" t="s">
        <v>4162</v>
      </c>
      <c r="B131" s="25">
        <v>63840854</v>
      </c>
    </row>
    <row r="132" spans="1:2" ht="14.5">
      <c r="A132" s="25" t="s">
        <v>4163</v>
      </c>
      <c r="B132" s="25">
        <v>66362951</v>
      </c>
    </row>
    <row r="133" spans="1:2" ht="14.5">
      <c r="A133" s="25" t="s">
        <v>4164</v>
      </c>
      <c r="B133" s="25">
        <v>66352698</v>
      </c>
    </row>
    <row r="134" spans="1:2" ht="14.5">
      <c r="A134" s="25" t="s">
        <v>4165</v>
      </c>
      <c r="B134" s="25" t="s">
        <v>4066</v>
      </c>
    </row>
    <row r="135" spans="1:2" ht="14.5">
      <c r="A135" s="25" t="s">
        <v>4166</v>
      </c>
      <c r="B135" s="26"/>
    </row>
    <row r="136" spans="1:2" ht="14.5">
      <c r="A136" s="25" t="s">
        <v>4167</v>
      </c>
      <c r="B136" s="26"/>
    </row>
    <row r="137" spans="1:2" ht="14.5">
      <c r="A137" s="25" t="s">
        <v>4168</v>
      </c>
      <c r="B137" s="25" t="s">
        <v>4066</v>
      </c>
    </row>
    <row r="138" spans="1:2" ht="14.5">
      <c r="A138" s="25" t="s">
        <v>4169</v>
      </c>
      <c r="B138" s="26"/>
    </row>
    <row r="139" spans="1:2" ht="14.5">
      <c r="A139" s="25" t="s">
        <v>4170</v>
      </c>
      <c r="B139" s="25" t="s">
        <v>4171</v>
      </c>
    </row>
    <row r="140" spans="1:2" ht="14.5">
      <c r="A140" s="25" t="s">
        <v>4172</v>
      </c>
      <c r="B140" s="26"/>
    </row>
    <row r="141" spans="1:2" ht="14.5">
      <c r="A141" s="25" t="s">
        <v>4173</v>
      </c>
      <c r="B141" s="25">
        <v>67024906</v>
      </c>
    </row>
    <row r="142" spans="1:2" ht="14.5">
      <c r="A142" s="25" t="s">
        <v>4174</v>
      </c>
      <c r="B142" s="25">
        <v>63377430</v>
      </c>
    </row>
    <row r="143" spans="1:2" ht="14.5">
      <c r="A143" s="25" t="s">
        <v>4175</v>
      </c>
      <c r="B143" s="25">
        <v>94235594</v>
      </c>
    </row>
    <row r="144" spans="1:2" ht="14.5">
      <c r="A144" s="25" t="s">
        <v>4176</v>
      </c>
      <c r="B144" s="25" t="s">
        <v>4177</v>
      </c>
    </row>
    <row r="145" spans="1:2" ht="14.5">
      <c r="A145" s="25" t="s">
        <v>4178</v>
      </c>
      <c r="B145" s="26"/>
    </row>
    <row r="146" spans="1:2" ht="14.5">
      <c r="A146" s="25" t="s">
        <v>4179</v>
      </c>
      <c r="B146" s="25" t="s">
        <v>4066</v>
      </c>
    </row>
    <row r="147" spans="1:2" ht="14.5">
      <c r="A147" s="25" t="s">
        <v>4180</v>
      </c>
      <c r="B147" s="25">
        <v>62521074</v>
      </c>
    </row>
    <row r="148" spans="1:2" ht="14.5">
      <c r="A148" s="25" t="s">
        <v>4181</v>
      </c>
      <c r="B148" s="25">
        <v>65572224</v>
      </c>
    </row>
    <row r="149" spans="1:2" ht="14.5">
      <c r="A149" s="25" t="s">
        <v>4182</v>
      </c>
      <c r="B149" s="25">
        <v>64626588</v>
      </c>
    </row>
    <row r="150" spans="1:2" ht="14.5">
      <c r="A150" s="25" t="s">
        <v>4183</v>
      </c>
      <c r="B150" s="26"/>
    </row>
    <row r="151" spans="1:2" ht="14.5">
      <c r="A151" s="25" t="s">
        <v>4184</v>
      </c>
      <c r="B151" s="25">
        <v>65345188</v>
      </c>
    </row>
    <row r="152" spans="1:2" ht="14.5">
      <c r="A152" s="25" t="s">
        <v>4185</v>
      </c>
      <c r="B152" s="25" t="s">
        <v>4186</v>
      </c>
    </row>
    <row r="153" spans="1:2" ht="14.5">
      <c r="A153" s="25" t="s">
        <v>4187</v>
      </c>
      <c r="B153" s="25">
        <v>96266029</v>
      </c>
    </row>
    <row r="154" spans="1:2" ht="14.5">
      <c r="A154" s="25" t="s">
        <v>4188</v>
      </c>
      <c r="B154" s="26"/>
    </row>
    <row r="155" spans="1:2" ht="14.5">
      <c r="A155" s="25" t="s">
        <v>4189</v>
      </c>
      <c r="B155" s="25" t="s">
        <v>4066</v>
      </c>
    </row>
    <row r="156" spans="1:2" ht="14.5">
      <c r="A156" s="25" t="s">
        <v>4190</v>
      </c>
      <c r="B156" s="25">
        <v>64813310</v>
      </c>
    </row>
    <row r="157" spans="1:2" ht="14.5">
      <c r="A157" s="25" t="s">
        <v>4191</v>
      </c>
      <c r="B157" s="25" t="s">
        <v>4066</v>
      </c>
    </row>
    <row r="158" spans="1:2" ht="14.5">
      <c r="A158" s="25" t="s">
        <v>4192</v>
      </c>
      <c r="B158" s="26"/>
    </row>
    <row r="159" spans="1:2" ht="14.5">
      <c r="A159" s="25" t="s">
        <v>4193</v>
      </c>
      <c r="B159" s="26"/>
    </row>
    <row r="160" spans="1:2" ht="14.5">
      <c r="A160" s="25" t="s">
        <v>4194</v>
      </c>
      <c r="B160" s="25" t="s">
        <v>4387</v>
      </c>
    </row>
    <row r="161" spans="1:2" ht="14.5">
      <c r="A161" s="25" t="s">
        <v>4195</v>
      </c>
      <c r="B161" s="25" t="s">
        <v>4387</v>
      </c>
    </row>
    <row r="162" spans="1:2" ht="29">
      <c r="A162" s="25" t="s">
        <v>4196</v>
      </c>
      <c r="B162" s="25">
        <v>62223880</v>
      </c>
    </row>
    <row r="163" spans="1:2" ht="14.5">
      <c r="A163" s="25" t="s">
        <v>4197</v>
      </c>
      <c r="B163" s="25">
        <v>64380328</v>
      </c>
    </row>
    <row r="164" spans="1:2" ht="14.5">
      <c r="A164" s="25" t="s">
        <v>4198</v>
      </c>
      <c r="B164" s="25">
        <v>67933308</v>
      </c>
    </row>
    <row r="165" spans="1:2" ht="14.5">
      <c r="A165" s="25" t="s">
        <v>4199</v>
      </c>
      <c r="B165" s="25" t="s">
        <v>4200</v>
      </c>
    </row>
    <row r="166" spans="1:2" ht="14.5">
      <c r="A166" s="25" t="s">
        <v>4201</v>
      </c>
      <c r="B166" s="25">
        <v>62916190</v>
      </c>
    </row>
    <row r="167" spans="1:2" ht="14.5">
      <c r="A167" s="25" t="s">
        <v>4202</v>
      </c>
      <c r="B167" s="26"/>
    </row>
    <row r="168" spans="1:2" ht="14.5">
      <c r="A168" s="25" t="s">
        <v>4203</v>
      </c>
      <c r="B168" s="25" t="s">
        <v>4204</v>
      </c>
    </row>
    <row r="169" spans="1:2" ht="14.5">
      <c r="A169" s="25" t="s">
        <v>4205</v>
      </c>
      <c r="B169" s="25">
        <v>67356739</v>
      </c>
    </row>
    <row r="170" spans="1:2" ht="14.5">
      <c r="A170" s="25" t="s">
        <v>4206</v>
      </c>
      <c r="B170" s="25">
        <v>65465229</v>
      </c>
    </row>
    <row r="171" spans="1:2" ht="14.5">
      <c r="A171" s="25" t="s">
        <v>4207</v>
      </c>
      <c r="B171" s="25">
        <v>67578859</v>
      </c>
    </row>
    <row r="172" spans="1:2" ht="14.5">
      <c r="A172" s="25" t="s">
        <v>4208</v>
      </c>
      <c r="B172" s="25">
        <v>62732774</v>
      </c>
    </row>
    <row r="173" spans="1:2" ht="14.5">
      <c r="A173" s="25" t="s">
        <v>4209</v>
      </c>
      <c r="B173" s="25">
        <v>64381836</v>
      </c>
    </row>
    <row r="174" spans="1:2" ht="14.5">
      <c r="A174" s="25" t="s">
        <v>4210</v>
      </c>
      <c r="B174" s="25">
        <v>94471826</v>
      </c>
    </row>
    <row r="175" spans="1:2" ht="14.5">
      <c r="A175" s="25" t="s">
        <v>4211</v>
      </c>
      <c r="B175" s="25">
        <v>63373448</v>
      </c>
    </row>
    <row r="176" spans="1:2" ht="14.5">
      <c r="A176" s="25" t="s">
        <v>4212</v>
      </c>
      <c r="B176" s="25" t="s">
        <v>4133</v>
      </c>
    </row>
    <row r="177" spans="1:2" ht="14.5">
      <c r="A177" s="25" t="s">
        <v>4213</v>
      </c>
      <c r="B177" s="25">
        <v>67891313</v>
      </c>
    </row>
    <row r="178" spans="1:2" ht="14.5">
      <c r="A178" s="25" t="s">
        <v>4214</v>
      </c>
      <c r="B178" s="25" t="s">
        <v>4215</v>
      </c>
    </row>
    <row r="179" spans="1:2" ht="14.5">
      <c r="A179" s="25" t="s">
        <v>4216</v>
      </c>
      <c r="B179" s="25">
        <v>62201820</v>
      </c>
    </row>
    <row r="180" spans="1:2" ht="14.5">
      <c r="A180" s="25" t="s">
        <v>4217</v>
      </c>
      <c r="B180" s="25">
        <v>62210132</v>
      </c>
    </row>
    <row r="181" spans="1:2" ht="14.5">
      <c r="A181" s="25" t="s">
        <v>4218</v>
      </c>
      <c r="B181" s="25">
        <v>62707676</v>
      </c>
    </row>
    <row r="182" spans="1:2" ht="14.5">
      <c r="A182" s="25" t="s">
        <v>4219</v>
      </c>
      <c r="B182" s="25">
        <v>62354990</v>
      </c>
    </row>
    <row r="183" spans="1:2" ht="14.5">
      <c r="A183" s="25" t="s">
        <v>4220</v>
      </c>
      <c r="B183" s="25" t="s">
        <v>4133</v>
      </c>
    </row>
    <row r="184" spans="1:2" ht="14.5">
      <c r="A184" s="25" t="s">
        <v>4221</v>
      </c>
      <c r="B184" s="25">
        <v>62263817</v>
      </c>
    </row>
    <row r="185" spans="1:2" ht="14.5">
      <c r="A185" s="25" t="s">
        <v>4222</v>
      </c>
      <c r="B185" s="25">
        <v>63769740</v>
      </c>
    </row>
    <row r="186" spans="1:2" ht="14.5">
      <c r="A186" s="25" t="s">
        <v>4223</v>
      </c>
      <c r="B186" s="26"/>
    </row>
    <row r="187" spans="1:2" ht="14.5">
      <c r="A187" s="25" t="s">
        <v>4224</v>
      </c>
      <c r="B187" s="25">
        <v>65320418</v>
      </c>
    </row>
    <row r="188" spans="1:2" ht="14.5">
      <c r="A188" s="25" t="s">
        <v>4225</v>
      </c>
      <c r="B188" s="25">
        <v>62890225</v>
      </c>
    </row>
    <row r="189" spans="1:2" ht="14.5">
      <c r="A189" s="25" t="s">
        <v>4226</v>
      </c>
      <c r="B189" s="25" t="s">
        <v>4387</v>
      </c>
    </row>
    <row r="190" spans="1:2" ht="14.5">
      <c r="A190" s="25" t="s">
        <v>4227</v>
      </c>
      <c r="B190" s="25" t="s">
        <v>4387</v>
      </c>
    </row>
    <row r="191" spans="1:2" ht="14.5">
      <c r="A191" s="25" t="s">
        <v>4228</v>
      </c>
      <c r="B191" s="25" t="s">
        <v>4387</v>
      </c>
    </row>
    <row r="192" spans="1:2" ht="14.5">
      <c r="A192" s="25" t="s">
        <v>4229</v>
      </c>
      <c r="B192" s="26"/>
    </row>
    <row r="193" spans="1:2" ht="14.5">
      <c r="A193" s="25" t="s">
        <v>4230</v>
      </c>
      <c r="B193" s="25" t="s">
        <v>4387</v>
      </c>
    </row>
    <row r="194" spans="1:2" ht="14.5">
      <c r="A194" s="25" t="s">
        <v>4231</v>
      </c>
      <c r="B194" s="25">
        <v>96572472</v>
      </c>
    </row>
    <row r="195" spans="1:2" ht="14.5">
      <c r="A195" s="25" t="s">
        <v>4232</v>
      </c>
      <c r="B195" s="25">
        <v>66885665</v>
      </c>
    </row>
    <row r="196" spans="1:2" ht="14.5">
      <c r="A196" s="25" t="s">
        <v>4233</v>
      </c>
      <c r="B196" s="25">
        <v>64684424</v>
      </c>
    </row>
    <row r="197" spans="1:2" ht="14.5">
      <c r="A197" s="25" t="s">
        <v>4234</v>
      </c>
      <c r="B197" s="25">
        <v>67383368</v>
      </c>
    </row>
    <row r="198" spans="1:2" ht="14.5">
      <c r="A198" s="25" t="s">
        <v>4235</v>
      </c>
      <c r="B198" s="25">
        <v>81213157</v>
      </c>
    </row>
    <row r="199" spans="1:2" ht="14.5">
      <c r="A199" s="25" t="s">
        <v>4236</v>
      </c>
      <c r="B199" s="25" t="s">
        <v>4387</v>
      </c>
    </row>
    <row r="200" spans="1:2" ht="14.5">
      <c r="A200" s="25" t="s">
        <v>4237</v>
      </c>
      <c r="B200" s="25">
        <v>86044220</v>
      </c>
    </row>
    <row r="201" spans="1:2" ht="14.5">
      <c r="A201" s="25" t="s">
        <v>4238</v>
      </c>
      <c r="B201" s="25">
        <v>63274123</v>
      </c>
    </row>
    <row r="202" spans="1:2" ht="14.5">
      <c r="A202" s="25" t="s">
        <v>4239</v>
      </c>
      <c r="B202" s="25">
        <v>62848984</v>
      </c>
    </row>
    <row r="203" spans="1:2" ht="14.5">
      <c r="A203" s="25" t="s">
        <v>4240</v>
      </c>
      <c r="B203" s="25" t="s">
        <v>4387</v>
      </c>
    </row>
    <row r="204" spans="1:2" ht="14.5">
      <c r="A204" s="25" t="s">
        <v>4241</v>
      </c>
      <c r="B204" s="25" t="s">
        <v>4242</v>
      </c>
    </row>
    <row r="205" spans="1:2" ht="14.5">
      <c r="A205" s="25" t="s">
        <v>4243</v>
      </c>
      <c r="B205" s="25" t="s">
        <v>4387</v>
      </c>
    </row>
    <row r="206" spans="1:2" ht="14.5">
      <c r="A206" s="25" t="s">
        <v>4244</v>
      </c>
      <c r="B206" s="25" t="s">
        <v>4387</v>
      </c>
    </row>
    <row r="207" spans="1:2" ht="14.5">
      <c r="A207" s="25" t="s">
        <v>4245</v>
      </c>
      <c r="B207" s="25">
        <v>93382353</v>
      </c>
    </row>
    <row r="208" spans="1:2" ht="14.5">
      <c r="A208" s="25" t="s">
        <v>4246</v>
      </c>
      <c r="B208" s="26"/>
    </row>
    <row r="209" spans="1:2" ht="14.5">
      <c r="A209" s="25" t="s">
        <v>4247</v>
      </c>
      <c r="B209" s="25">
        <v>65361726</v>
      </c>
    </row>
    <row r="210" spans="1:2" ht="14.5">
      <c r="A210" s="25" t="s">
        <v>4248</v>
      </c>
      <c r="B210" s="25">
        <v>65422232</v>
      </c>
    </row>
    <row r="211" spans="1:2" ht="14.5">
      <c r="A211" s="25" t="s">
        <v>4249</v>
      </c>
      <c r="B211" s="26"/>
    </row>
    <row r="212" spans="1:2" ht="14.5">
      <c r="A212" s="25" t="s">
        <v>4250</v>
      </c>
      <c r="B212" s="25">
        <v>97778245</v>
      </c>
    </row>
    <row r="213" spans="1:2" ht="14.5">
      <c r="A213" s="25" t="s">
        <v>4251</v>
      </c>
      <c r="B213" s="25">
        <v>91110726</v>
      </c>
    </row>
    <row r="214" spans="1:2" ht="14.5">
      <c r="A214" s="25" t="s">
        <v>4252</v>
      </c>
      <c r="B214" s="25" t="s">
        <v>4253</v>
      </c>
    </row>
    <row r="215" spans="1:2" ht="14.5">
      <c r="A215" s="25" t="s">
        <v>4254</v>
      </c>
      <c r="B215" s="25" t="s">
        <v>4255</v>
      </c>
    </row>
    <row r="216" spans="1:2" ht="29">
      <c r="A216" s="25" t="s">
        <v>4256</v>
      </c>
      <c r="B216" s="26"/>
    </row>
    <row r="217" spans="1:2" ht="14.5">
      <c r="A217" s="25" t="s">
        <v>4257</v>
      </c>
      <c r="B217" s="25">
        <v>66816720</v>
      </c>
    </row>
    <row r="218" spans="1:2" ht="14.5">
      <c r="A218" s="25" t="s">
        <v>4258</v>
      </c>
      <c r="B218" s="25" t="s">
        <v>4387</v>
      </c>
    </row>
    <row r="219" spans="1:2" ht="14.5">
      <c r="A219" s="25" t="s">
        <v>4259</v>
      </c>
      <c r="B219" s="26"/>
    </row>
    <row r="220" spans="1:2" ht="14.5">
      <c r="A220" s="25" t="s">
        <v>4260</v>
      </c>
      <c r="B220" s="25" t="s">
        <v>4066</v>
      </c>
    </row>
    <row r="221" spans="1:2" ht="14.5">
      <c r="A221" s="25" t="s">
        <v>4261</v>
      </c>
      <c r="B221" s="25">
        <v>67789585</v>
      </c>
    </row>
    <row r="222" spans="1:2" ht="14.5">
      <c r="A222" s="25" t="s">
        <v>4262</v>
      </c>
      <c r="B222" s="26"/>
    </row>
    <row r="223" spans="1:2" ht="14.5">
      <c r="A223" s="25" t="s">
        <v>4263</v>
      </c>
      <c r="B223" s="25">
        <v>68363291</v>
      </c>
    </row>
    <row r="224" spans="1:2" ht="14.5">
      <c r="A224" s="25" t="s">
        <v>4264</v>
      </c>
      <c r="B224" s="26"/>
    </row>
    <row r="225" spans="1:2" ht="14.5">
      <c r="A225" s="25" t="s">
        <v>4265</v>
      </c>
      <c r="B225" s="25">
        <v>63417780</v>
      </c>
    </row>
    <row r="226" spans="1:2" ht="14.5">
      <c r="A226" s="25" t="s">
        <v>4266</v>
      </c>
      <c r="B226" s="25">
        <v>82500323</v>
      </c>
    </row>
    <row r="227" spans="1:2" ht="14.5">
      <c r="A227" s="25" t="s">
        <v>4267</v>
      </c>
      <c r="B227" s="25" t="s">
        <v>4387</v>
      </c>
    </row>
    <row r="228" spans="1:2" ht="14.5">
      <c r="A228" s="25" t="s">
        <v>4268</v>
      </c>
      <c r="B228" s="26"/>
    </row>
    <row r="229" spans="1:2" ht="14.5">
      <c r="A229" s="25" t="s">
        <v>4269</v>
      </c>
      <c r="B229" s="25" t="s">
        <v>4066</v>
      </c>
    </row>
    <row r="230" spans="1:2" ht="14.5">
      <c r="A230" s="25" t="s">
        <v>4270</v>
      </c>
      <c r="B230" s="25" t="s">
        <v>4066</v>
      </c>
    </row>
    <row r="231" spans="1:2" ht="14.5">
      <c r="A231" s="25" t="s">
        <v>4271</v>
      </c>
      <c r="B231" s="25" t="s">
        <v>4066</v>
      </c>
    </row>
    <row r="232" spans="1:2" ht="14.5">
      <c r="A232" s="25" t="s">
        <v>4272</v>
      </c>
      <c r="B232" s="25">
        <v>67321234</v>
      </c>
    </row>
    <row r="233" spans="1:2" ht="14.5">
      <c r="A233" s="25" t="s">
        <v>4273</v>
      </c>
      <c r="B233" s="26"/>
    </row>
    <row r="234" spans="1:2" ht="14.5">
      <c r="A234" s="25" t="s">
        <v>4274</v>
      </c>
      <c r="B234" s="25" t="s">
        <v>4066</v>
      </c>
    </row>
    <row r="235" spans="1:2" ht="14.5">
      <c r="A235" s="25" t="s">
        <v>4275</v>
      </c>
      <c r="B235" s="25" t="s">
        <v>4276</v>
      </c>
    </row>
    <row r="236" spans="1:2" ht="14.5">
      <c r="A236" s="25" t="s">
        <v>4277</v>
      </c>
      <c r="B236" s="25">
        <v>63928628</v>
      </c>
    </row>
    <row r="237" spans="1:2" ht="14.5">
      <c r="A237" s="25" t="s">
        <v>4278</v>
      </c>
      <c r="B237" s="25" t="s">
        <v>4279</v>
      </c>
    </row>
    <row r="238" spans="1:2" ht="14.5">
      <c r="A238" s="25" t="s">
        <v>4280</v>
      </c>
      <c r="B238" s="25">
        <v>62237008</v>
      </c>
    </row>
    <row r="239" spans="1:2" ht="14.5">
      <c r="A239" s="25" t="s">
        <v>4281</v>
      </c>
      <c r="B239" s="25">
        <v>67773477</v>
      </c>
    </row>
    <row r="240" spans="1:2" ht="14.5">
      <c r="A240" s="25" t="s">
        <v>4282</v>
      </c>
      <c r="B240" s="25">
        <v>66849897</v>
      </c>
    </row>
    <row r="241" spans="1:2" ht="14.5">
      <c r="A241" s="25" t="s">
        <v>4283</v>
      </c>
      <c r="B241" s="25" t="s">
        <v>4284</v>
      </c>
    </row>
    <row r="242" spans="1:2" ht="14.5">
      <c r="A242" s="25" t="s">
        <v>4285</v>
      </c>
      <c r="B242" s="25">
        <v>67603534</v>
      </c>
    </row>
    <row r="243" spans="1:2" ht="14.5">
      <c r="A243" s="25" t="s">
        <v>4286</v>
      </c>
      <c r="B243" s="25" t="s">
        <v>4287</v>
      </c>
    </row>
    <row r="244" spans="1:2" ht="14.5">
      <c r="A244" s="25" t="s">
        <v>4288</v>
      </c>
      <c r="B244" s="26"/>
    </row>
    <row r="245" spans="1:2" ht="14.5">
      <c r="A245" s="25" t="s">
        <v>4289</v>
      </c>
      <c r="B245" s="25">
        <v>63335400</v>
      </c>
    </row>
    <row r="246" spans="1:2" ht="14.5">
      <c r="A246" s="25" t="s">
        <v>4290</v>
      </c>
      <c r="B246" s="25" t="s">
        <v>4291</v>
      </c>
    </row>
    <row r="247" spans="1:2" ht="14.5">
      <c r="A247" s="25" t="s">
        <v>4292</v>
      </c>
      <c r="B247" s="26"/>
    </row>
    <row r="248" spans="1:2" ht="14.5">
      <c r="A248" s="25" t="s">
        <v>4293</v>
      </c>
      <c r="B248" s="25">
        <v>64433037</v>
      </c>
    </row>
    <row r="249" spans="1:2" ht="14.5">
      <c r="A249" s="25" t="s">
        <v>4294</v>
      </c>
      <c r="B249" s="25" t="s">
        <v>4295</v>
      </c>
    </row>
    <row r="250" spans="1:2" ht="14.5">
      <c r="A250" s="25" t="s">
        <v>4296</v>
      </c>
      <c r="B250" s="25">
        <v>81214107</v>
      </c>
    </row>
    <row r="251" spans="1:2" ht="14.5">
      <c r="A251" s="25" t="s">
        <v>4297</v>
      </c>
      <c r="B251" s="25">
        <v>69339833</v>
      </c>
    </row>
    <row r="252" spans="1:2" ht="14.5">
      <c r="A252" s="25" t="s">
        <v>4298</v>
      </c>
      <c r="B252" s="25">
        <v>65561533</v>
      </c>
    </row>
    <row r="253" spans="1:2" ht="14.5">
      <c r="A253" s="25" t="s">
        <v>4299</v>
      </c>
      <c r="B253" s="25">
        <v>63363932</v>
      </c>
    </row>
    <row r="254" spans="1:2" ht="14.5">
      <c r="A254" s="25" t="s">
        <v>4300</v>
      </c>
      <c r="B254" s="25" t="s">
        <v>4387</v>
      </c>
    </row>
    <row r="255" spans="1:2" ht="14.5">
      <c r="A255" s="25" t="s">
        <v>4301</v>
      </c>
      <c r="B255" s="25">
        <f>6564633648</f>
        <v>6564633648</v>
      </c>
    </row>
    <row r="256" spans="1:2" ht="14.5">
      <c r="A256" s="25" t="s">
        <v>4302</v>
      </c>
      <c r="B256" s="25">
        <v>63480448</v>
      </c>
    </row>
    <row r="257" spans="1:2" ht="29">
      <c r="A257" s="25" t="s">
        <v>4303</v>
      </c>
      <c r="B257" s="25">
        <v>64640478</v>
      </c>
    </row>
    <row r="258" spans="1:2" ht="14.5">
      <c r="A258" s="25" t="s">
        <v>4304</v>
      </c>
      <c r="B258" s="25">
        <v>81117018</v>
      </c>
    </row>
    <row r="259" spans="1:2" ht="14.5">
      <c r="A259" s="25" t="s">
        <v>4305</v>
      </c>
      <c r="B259" s="25">
        <v>82996434</v>
      </c>
    </row>
    <row r="260" spans="1:2" ht="14.5">
      <c r="A260" s="25" t="s">
        <v>4306</v>
      </c>
      <c r="B260" s="25">
        <v>96755155</v>
      </c>
    </row>
    <row r="261" spans="1:2" ht="14.5">
      <c r="A261" s="25" t="s">
        <v>4307</v>
      </c>
      <c r="B261" s="25">
        <v>64621650</v>
      </c>
    </row>
    <row r="262" spans="1:2" ht="14.5">
      <c r="A262" s="25" t="s">
        <v>4308</v>
      </c>
      <c r="B262" s="25">
        <v>96988322</v>
      </c>
    </row>
    <row r="263" spans="1:2" ht="14.5">
      <c r="A263" s="25" t="s">
        <v>4309</v>
      </c>
      <c r="B263" s="25">
        <v>96722729</v>
      </c>
    </row>
    <row r="264" spans="1:2" ht="14.5">
      <c r="A264" s="25" t="s">
        <v>4310</v>
      </c>
      <c r="B264" s="25">
        <v>62221283</v>
      </c>
    </row>
    <row r="265" spans="1:2" ht="14.5">
      <c r="A265" s="25" t="s">
        <v>4311</v>
      </c>
      <c r="B265" s="25">
        <f>6565474909</f>
        <v>6565474909</v>
      </c>
    </row>
    <row r="266" spans="1:2" ht="14.5">
      <c r="A266" s="25" t="s">
        <v>4312</v>
      </c>
      <c r="B266" s="25">
        <v>92367263</v>
      </c>
    </row>
    <row r="267" spans="1:2" ht="14.5">
      <c r="A267" s="25" t="s">
        <v>4313</v>
      </c>
      <c r="B267" s="25">
        <v>68760570</v>
      </c>
    </row>
    <row r="268" spans="1:2" ht="14.5">
      <c r="A268" s="25" t="s">
        <v>4314</v>
      </c>
      <c r="B268" s="25">
        <v>62211911</v>
      </c>
    </row>
    <row r="269" spans="1:2" ht="14.5">
      <c r="A269" s="25" t="s">
        <v>4315</v>
      </c>
      <c r="B269" s="25">
        <v>62244188</v>
      </c>
    </row>
    <row r="270" spans="1:2" ht="14.5">
      <c r="A270" s="25" t="s">
        <v>4316</v>
      </c>
      <c r="B270" s="25">
        <v>62979247</v>
      </c>
    </row>
    <row r="271" spans="1:2" ht="14.5">
      <c r="A271" s="25" t="s">
        <v>4317</v>
      </c>
      <c r="B271" s="25">
        <v>68925590</v>
      </c>
    </row>
    <row r="272" spans="1:2" ht="14.5">
      <c r="A272" s="25" t="s">
        <v>4318</v>
      </c>
      <c r="B272" s="25">
        <v>63466466</v>
      </c>
    </row>
    <row r="273" spans="1:2" ht="14.5">
      <c r="A273" s="25" t="s">
        <v>4319</v>
      </c>
      <c r="B273" s="25" t="s">
        <v>4320</v>
      </c>
    </row>
    <row r="274" spans="1:2" ht="14.5">
      <c r="A274" s="25" t="s">
        <v>4321</v>
      </c>
      <c r="B274" s="25">
        <v>67332426</v>
      </c>
    </row>
    <row r="275" spans="1:2" ht="14.5">
      <c r="A275" s="25" t="s">
        <v>4322</v>
      </c>
      <c r="B275" s="25" t="s">
        <v>4323</v>
      </c>
    </row>
    <row r="276" spans="1:2" ht="14.5">
      <c r="A276" s="25" t="s">
        <v>4324</v>
      </c>
      <c r="B276" s="25">
        <v>67757348</v>
      </c>
    </row>
    <row r="277" spans="1:2" ht="14.5">
      <c r="A277" s="25" t="s">
        <v>4325</v>
      </c>
      <c r="B277" s="25">
        <v>63390280</v>
      </c>
    </row>
    <row r="278" spans="1:2" ht="14.5">
      <c r="A278" s="25" t="s">
        <v>4326</v>
      </c>
      <c r="B278" s="25">
        <v>68753472</v>
      </c>
    </row>
    <row r="279" spans="1:2" ht="14.5">
      <c r="A279" s="25" t="s">
        <v>4327</v>
      </c>
      <c r="B279" s="25">
        <v>65322098</v>
      </c>
    </row>
    <row r="280" spans="1:2" ht="14.5">
      <c r="A280" s="25" t="s">
        <v>4328</v>
      </c>
      <c r="B280" s="25">
        <v>64387737</v>
      </c>
    </row>
    <row r="281" spans="1:2" ht="14.5">
      <c r="A281" s="25" t="s">
        <v>4329</v>
      </c>
      <c r="B281" s="26"/>
    </row>
    <row r="282" spans="1:2" ht="14.5">
      <c r="A282" s="25" t="s">
        <v>4330</v>
      </c>
      <c r="B282" s="25" t="s">
        <v>4066</v>
      </c>
    </row>
    <row r="283" spans="1:2" ht="14.5">
      <c r="A283" s="25" t="s">
        <v>4331</v>
      </c>
      <c r="B283" s="25" t="s">
        <v>4066</v>
      </c>
    </row>
    <row r="284" spans="1:2" ht="14.5">
      <c r="A284" s="25" t="s">
        <v>4332</v>
      </c>
      <c r="B284" s="26"/>
    </row>
    <row r="285" spans="1:2" ht="14.5">
      <c r="A285" s="25" t="s">
        <v>4333</v>
      </c>
      <c r="B285" s="25" t="s">
        <v>4066</v>
      </c>
    </row>
    <row r="286" spans="1:2" ht="14.5">
      <c r="A286" s="25" t="s">
        <v>4334</v>
      </c>
      <c r="B286" s="25" t="s">
        <v>4066</v>
      </c>
    </row>
    <row r="287" spans="1:2" ht="14.5">
      <c r="A287" s="25" t="s">
        <v>4335</v>
      </c>
      <c r="B287" s="25" t="s">
        <v>4336</v>
      </c>
    </row>
    <row r="288" spans="1:2" ht="14.5">
      <c r="A288" s="25" t="s">
        <v>4337</v>
      </c>
      <c r="B288" s="26"/>
    </row>
    <row r="289" spans="1:2" ht="14.5">
      <c r="A289" s="25" t="s">
        <v>4338</v>
      </c>
      <c r="B289" s="26"/>
    </row>
    <row r="290" spans="1:2" ht="14.5">
      <c r="A290" s="25" t="s">
        <v>4339</v>
      </c>
      <c r="B290" s="25" t="s">
        <v>4340</v>
      </c>
    </row>
    <row r="291" spans="1:2" ht="14.5">
      <c r="A291" s="25" t="s">
        <v>4341</v>
      </c>
      <c r="B291" s="26"/>
    </row>
    <row r="292" spans="1:2" ht="29">
      <c r="A292" s="25" t="s">
        <v>4342</v>
      </c>
      <c r="B292" s="26"/>
    </row>
    <row r="293" spans="1:2" ht="14.5">
      <c r="A293" s="25" t="s">
        <v>4343</v>
      </c>
      <c r="B293" s="25">
        <v>97470454</v>
      </c>
    </row>
    <row r="294" spans="1:2" ht="14.5">
      <c r="A294" s="25" t="s">
        <v>4344</v>
      </c>
      <c r="B294" s="25">
        <v>62886260</v>
      </c>
    </row>
    <row r="295" spans="1:2" ht="14.5">
      <c r="A295" s="25" t="s">
        <v>4345</v>
      </c>
      <c r="B295" s="25" t="s">
        <v>4066</v>
      </c>
    </row>
    <row r="296" spans="1:2" ht="14.5">
      <c r="A296" s="25" t="s">
        <v>4346</v>
      </c>
      <c r="B296" s="25" t="s">
        <v>4066</v>
      </c>
    </row>
    <row r="297" spans="1:2" ht="14.5">
      <c r="A297" s="25" t="s">
        <v>4347</v>
      </c>
      <c r="B297" s="25" t="s">
        <v>4066</v>
      </c>
    </row>
    <row r="298" spans="1:2" ht="14.5">
      <c r="A298" s="25" t="s">
        <v>4348</v>
      </c>
      <c r="B298" s="25">
        <v>98474716</v>
      </c>
    </row>
    <row r="299" spans="1:2" ht="14.5">
      <c r="A299" s="25" t="s">
        <v>4349</v>
      </c>
      <c r="B299" s="25">
        <v>62917161</v>
      </c>
    </row>
    <row r="300" spans="1:2" ht="14.5">
      <c r="A300" s="25" t="s">
        <v>4350</v>
      </c>
      <c r="B300" s="25">
        <v>91110726</v>
      </c>
    </row>
    <row r="301" spans="1:2" ht="14.5">
      <c r="A301" s="25" t="s">
        <v>4351</v>
      </c>
      <c r="B301" s="25" t="s">
        <v>4066</v>
      </c>
    </row>
    <row r="302" spans="1:2" ht="14.5">
      <c r="A302" s="25" t="s">
        <v>4352</v>
      </c>
      <c r="B302" s="25">
        <v>91507257</v>
      </c>
    </row>
    <row r="303" spans="1:2" ht="14.5">
      <c r="A303" s="25" t="s">
        <v>4353</v>
      </c>
      <c r="B303" s="25" t="s">
        <v>4066</v>
      </c>
    </row>
    <row r="304" spans="1:2" ht="14.5">
      <c r="A304" s="25" t="s">
        <v>4354</v>
      </c>
      <c r="B304" s="25">
        <v>67389395</v>
      </c>
    </row>
    <row r="305" spans="1:2" ht="14.5">
      <c r="A305" s="25" t="s">
        <v>4355</v>
      </c>
      <c r="B305" s="26"/>
    </row>
    <row r="306" spans="1:2" ht="14.5">
      <c r="A306" s="25" t="s">
        <v>4356</v>
      </c>
      <c r="B306" s="26"/>
    </row>
    <row r="307" spans="1:2" ht="29">
      <c r="A307" s="25" t="s">
        <v>4357</v>
      </c>
      <c r="B307" s="25">
        <v>96473930</v>
      </c>
    </row>
    <row r="308" spans="1:2" ht="14.5">
      <c r="A308" s="25" t="s">
        <v>4358</v>
      </c>
      <c r="B308" s="25">
        <v>62148839</v>
      </c>
    </row>
    <row r="309" spans="1:2" ht="14.5">
      <c r="A309" s="25" t="s">
        <v>4359</v>
      </c>
      <c r="B309" s="26"/>
    </row>
    <row r="310" spans="1:2" ht="14.5">
      <c r="A310" s="25" t="s">
        <v>4360</v>
      </c>
      <c r="B310" s="25" t="s">
        <v>4361</v>
      </c>
    </row>
    <row r="311" spans="1:2" ht="29">
      <c r="A311" s="25" t="s">
        <v>4362</v>
      </c>
      <c r="B311" s="25">
        <v>63345682</v>
      </c>
    </row>
    <row r="312" spans="1:2" ht="14.5">
      <c r="A312" s="25" t="s">
        <v>4363</v>
      </c>
      <c r="B312" s="25" t="s">
        <v>4364</v>
      </c>
    </row>
    <row r="313" spans="1:2" ht="14.5">
      <c r="A313" s="25" t="s">
        <v>4365</v>
      </c>
      <c r="B313" s="25" t="s">
        <v>4366</v>
      </c>
    </row>
    <row r="314" spans="1:2" ht="14.5">
      <c r="A314" s="25" t="s">
        <v>4367</v>
      </c>
      <c r="B314" s="25">
        <v>92246611</v>
      </c>
    </row>
    <row r="315" spans="1:2" ht="14.5">
      <c r="A315" s="25" t="s">
        <v>4368</v>
      </c>
      <c r="B315" s="25">
        <v>62228846</v>
      </c>
    </row>
    <row r="316" spans="1:2" ht="14.5">
      <c r="A316" s="25" t="s">
        <v>4369</v>
      </c>
      <c r="B316" s="25">
        <v>63960609</v>
      </c>
    </row>
    <row r="317" spans="1:2" ht="14.5">
      <c r="A317" s="25" t="s">
        <v>4370</v>
      </c>
      <c r="B317" s="25">
        <v>62969688</v>
      </c>
    </row>
    <row r="318" spans="1:2" ht="14.5">
      <c r="A318" s="25" t="s">
        <v>4371</v>
      </c>
      <c r="B318" s="26"/>
    </row>
    <row r="319" spans="1:2" ht="14.5">
      <c r="A319" s="25" t="s">
        <v>4372</v>
      </c>
      <c r="B319" s="25">
        <v>65363877</v>
      </c>
    </row>
    <row r="320" spans="1:2" ht="14.5">
      <c r="A320" s="25" t="s">
        <v>4373</v>
      </c>
      <c r="B320" s="25">
        <v>62925012</v>
      </c>
    </row>
    <row r="321" spans="1:2" ht="14.5">
      <c r="A321" s="25" t="s">
        <v>4374</v>
      </c>
      <c r="B321" s="25">
        <v>62228660</v>
      </c>
    </row>
    <row r="322" spans="1:2" ht="14.5">
      <c r="A322" s="25" t="s">
        <v>4375</v>
      </c>
      <c r="B322" s="25" t="s">
        <v>4376</v>
      </c>
    </row>
    <row r="323" spans="1:2" ht="14.5">
      <c r="A323" s="25" t="s">
        <v>4377</v>
      </c>
      <c r="B323" s="25">
        <v>93214858</v>
      </c>
    </row>
    <row r="324" spans="1:2" ht="14.5">
      <c r="A324" s="25" t="s">
        <v>4378</v>
      </c>
      <c r="B324" s="25">
        <v>62255043</v>
      </c>
    </row>
    <row r="325" spans="1:2" ht="14.5">
      <c r="A325" s="25" t="s">
        <v>4379</v>
      </c>
      <c r="B325" s="25" t="s">
        <v>4380</v>
      </c>
    </row>
    <row r="326" spans="1:2" ht="14.5">
      <c r="A326" s="25" t="s">
        <v>4381</v>
      </c>
      <c r="B326" s="25">
        <v>96858187</v>
      </c>
    </row>
    <row r="327" spans="1:2" ht="14.5">
      <c r="A327" s="25" t="s">
        <v>4382</v>
      </c>
      <c r="B327" s="25" t="s">
        <v>4383</v>
      </c>
    </row>
    <row r="328" spans="1:2" ht="14.5">
      <c r="A328" s="25" t="s">
        <v>4384</v>
      </c>
      <c r="B328" s="26"/>
    </row>
    <row r="329" spans="1:2" ht="14.5">
      <c r="A329" s="25" t="s">
        <v>4385</v>
      </c>
      <c r="B329" s="25">
        <v>97833892</v>
      </c>
    </row>
    <row r="330" spans="1:2" ht="14.5">
      <c r="A330" s="25" t="s">
        <v>4386</v>
      </c>
      <c r="B330" s="25">
        <v>96570287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Mr project 2023-2024 F&amp;B segmen</vt:lpstr>
      <vt:lpstr>Ishwarya Intern Sales newjoinee</vt:lpstr>
      <vt:lpstr>Ishwarya_MR2022</vt:lpstr>
      <vt:lpstr>Ishwarya_Inquiry to Ishwarya In</vt:lpstr>
      <vt:lpstr>Sheet9</vt:lpstr>
      <vt:lpstr>Ishwarya_Field Sales @ EXPO QSR</vt:lpstr>
      <vt:lpstr>F&amp;B Market research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2025-11-10T09:28:05Z</dcterms:created>
  <dcterms:modified xsi:type="dcterms:W3CDTF">2025-11-11T13:10:28Z</dcterms:modified>
</cp:coreProperties>
</file>